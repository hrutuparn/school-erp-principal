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P\Desktop\school-erp-principal\"/>
    </mc:Choice>
  </mc:AlternateContent>
  <xr:revisionPtr revIDLastSave="0" documentId="13_ncr:1_{7E1CFD2C-6D02-4384-9B89-857A9AB03E0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d" sheetId="1" r:id="rId1"/>
    <sheet name="Teacher" sheetId="2" r:id="rId2"/>
    <sheet name="Assignment" sheetId="3" r:id="rId3"/>
  </sheets>
  <calcPr calcId="191029"/>
</workbook>
</file>

<file path=xl/calcChain.xml><?xml version="1.0" encoding="utf-8"?>
<calcChain xmlns="http://schemas.openxmlformats.org/spreadsheetml/2006/main">
  <c r="B4" i="3" l="1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B6" i="3"/>
  <c r="B5" i="3"/>
  <c r="B3" i="3"/>
</calcChain>
</file>

<file path=xl/sharedStrings.xml><?xml version="1.0" encoding="utf-8"?>
<sst xmlns="http://schemas.openxmlformats.org/spreadsheetml/2006/main" count="820" uniqueCount="108">
  <si>
    <t>Rank</t>
  </si>
  <si>
    <t>Full Name</t>
  </si>
  <si>
    <t>Arjun Sharma</t>
  </si>
  <si>
    <t>Deepak Verma</t>
  </si>
  <si>
    <t>Anjali Gupta</t>
  </si>
  <si>
    <t>Sneha Malhotra</t>
  </si>
  <si>
    <t>Rahul Iyer</t>
  </si>
  <si>
    <t>Kavita Reddy</t>
  </si>
  <si>
    <t>Sanjay Patel</t>
  </si>
  <si>
    <t>Meera Singh</t>
  </si>
  <si>
    <t>Vikram Joshi</t>
  </si>
  <si>
    <t>Pooja Mishra</t>
  </si>
  <si>
    <t>Rohan Deshmukh</t>
  </si>
  <si>
    <t>Sunita Nair</t>
  </si>
  <si>
    <t>Amit Saxena</t>
  </si>
  <si>
    <t>Rashmi Chopra</t>
  </si>
  <si>
    <t>Vijay Kapoor</t>
  </si>
  <si>
    <t>Aarti Bose</t>
  </si>
  <si>
    <t>Manoj Trivedi</t>
  </si>
  <si>
    <t>Shweta Pandey</t>
  </si>
  <si>
    <t>Kiran Rao</t>
  </si>
  <si>
    <t>Geeta Kumar</t>
  </si>
  <si>
    <t>Suresh Sharma</t>
  </si>
  <si>
    <t>Ramesh Verma</t>
  </si>
  <si>
    <t>Lata Gupta</t>
  </si>
  <si>
    <t>Anita Malhotra</t>
  </si>
  <si>
    <t>Vinay Iyer</t>
  </si>
  <si>
    <t>Preeti Reddy</t>
  </si>
  <si>
    <t>Alok Patel</t>
  </si>
  <si>
    <t>Priyanka Singh</t>
  </si>
  <si>
    <t>Nitin Joshi</t>
  </si>
  <si>
    <t>Sakshi Mishra</t>
  </si>
  <si>
    <t>name</t>
  </si>
  <si>
    <t>email</t>
  </si>
  <si>
    <t>phone</t>
  </si>
  <si>
    <t>arjun.sharma@school.com</t>
  </si>
  <si>
    <t>deepak.verma@school.com</t>
  </si>
  <si>
    <t>anjali.gupta@school.com</t>
  </si>
  <si>
    <t>sneha.malhotra@school.com</t>
  </si>
  <si>
    <t>rahul.iyer@school.com</t>
  </si>
  <si>
    <t>kavita.reddy@school.com</t>
  </si>
  <si>
    <t>sanjay.patel@school.com</t>
  </si>
  <si>
    <t>meera.singh@school.com</t>
  </si>
  <si>
    <t>vikram.joshi@school.com</t>
  </si>
  <si>
    <t>pooja.mishra@school.com</t>
  </si>
  <si>
    <t>rohan.deshmukh@school.com</t>
  </si>
  <si>
    <t>sunita.nair@school.com</t>
  </si>
  <si>
    <t>amit.saxena@school.com</t>
  </si>
  <si>
    <t>rashmi.chopra@school.com</t>
  </si>
  <si>
    <t>vijay.kapoor@school.com</t>
  </si>
  <si>
    <t>aarti.bose@school.com</t>
  </si>
  <si>
    <t>manoj.trivedi@school.com</t>
  </si>
  <si>
    <t>shweta.pandey@school.com</t>
  </si>
  <si>
    <t>kiran.rao@school.com</t>
  </si>
  <si>
    <t>geeta.kumar@school.com</t>
  </si>
  <si>
    <t>suresh.sharma@school.com</t>
  </si>
  <si>
    <t>ramesh.verma@school.com</t>
  </si>
  <si>
    <t>lata.gupta@school.com</t>
  </si>
  <si>
    <t>anita.malhotra@school.com</t>
  </si>
  <si>
    <t>vinay.iyer@school.com</t>
  </si>
  <si>
    <t>preeti.reddy@school.com</t>
  </si>
  <si>
    <t>alok.patel@school.com</t>
  </si>
  <si>
    <t>priyanka.singh@school.com</t>
  </si>
  <si>
    <t>nitin.joshi@school.com</t>
  </si>
  <si>
    <t>sakshi.mishra@school.com</t>
  </si>
  <si>
    <t>teacher_email</t>
  </si>
  <si>
    <t>class_name</t>
  </si>
  <si>
    <t>subject</t>
  </si>
  <si>
    <t>1A</t>
  </si>
  <si>
    <t>History</t>
  </si>
  <si>
    <t>Physics</t>
  </si>
  <si>
    <t>Chemistry</t>
  </si>
  <si>
    <t>English</t>
  </si>
  <si>
    <t>Geography</t>
  </si>
  <si>
    <t>Mathematics</t>
  </si>
  <si>
    <t>Science</t>
  </si>
  <si>
    <t>Computer Science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</si>
  <si>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</si>
  <si>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</si>
  <si>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</si>
  <si>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</si>
  <si>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</si>
  <si>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</si>
  <si>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</si>
  <si>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</si>
  <si>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</si>
  <si>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</si>
  <si>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</si>
  <si>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</si>
  <si>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</si>
  <si>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</si>
  <si>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6A</t>
  </si>
  <si>
    <t>6B</t>
  </si>
  <si>
    <t>6C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</si>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</sst>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000000"/>
      <name val="Segoe U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A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ikram.joshi@school.com" TargetMode="External"/><Relationship Id="rId13" Type="http://schemas.openxmlformats.org/officeDocument/2006/relationships/hyperlink" Target="mailto:rashmi.chopra@school.com" TargetMode="External"/><Relationship Id="rId18" Type="http://schemas.openxmlformats.org/officeDocument/2006/relationships/hyperlink" Target="mailto:kiran.rao@school.com" TargetMode="External"/><Relationship Id="rId26" Type="http://schemas.openxmlformats.org/officeDocument/2006/relationships/hyperlink" Target="mailto:alok.patel@school.com" TargetMode="External"/><Relationship Id="rId3" Type="http://schemas.openxmlformats.org/officeDocument/2006/relationships/hyperlink" Target="mailto:sneha.malhotra@school.com" TargetMode="External"/><Relationship Id="rId21" Type="http://schemas.openxmlformats.org/officeDocument/2006/relationships/hyperlink" Target="mailto:ramesh.verma@school.com" TargetMode="External"/><Relationship Id="rId7" Type="http://schemas.openxmlformats.org/officeDocument/2006/relationships/hyperlink" Target="mailto:meera.singh@school.com" TargetMode="External"/><Relationship Id="rId12" Type="http://schemas.openxmlformats.org/officeDocument/2006/relationships/hyperlink" Target="mailto:amit.saxena@school.com" TargetMode="External"/><Relationship Id="rId17" Type="http://schemas.openxmlformats.org/officeDocument/2006/relationships/hyperlink" Target="mailto:shweta.pandey@school.com" TargetMode="External"/><Relationship Id="rId25" Type="http://schemas.openxmlformats.org/officeDocument/2006/relationships/hyperlink" Target="mailto:preeti.reddy@school.com" TargetMode="External"/><Relationship Id="rId2" Type="http://schemas.openxmlformats.org/officeDocument/2006/relationships/hyperlink" Target="mailto:anjali.gupta@school.com" TargetMode="External"/><Relationship Id="rId16" Type="http://schemas.openxmlformats.org/officeDocument/2006/relationships/hyperlink" Target="mailto:manoj.trivedi@school.com" TargetMode="External"/><Relationship Id="rId20" Type="http://schemas.openxmlformats.org/officeDocument/2006/relationships/hyperlink" Target="mailto:suresh.sharma@school.com" TargetMode="External"/><Relationship Id="rId29" Type="http://schemas.openxmlformats.org/officeDocument/2006/relationships/hyperlink" Target="mailto:sakshi.mishra@school.com" TargetMode="External"/><Relationship Id="rId1" Type="http://schemas.openxmlformats.org/officeDocument/2006/relationships/hyperlink" Target="mailto:deepak.verma@school.com" TargetMode="External"/><Relationship Id="rId6" Type="http://schemas.openxmlformats.org/officeDocument/2006/relationships/hyperlink" Target="mailto:sanjay.patel@school.com" TargetMode="External"/><Relationship Id="rId11" Type="http://schemas.openxmlformats.org/officeDocument/2006/relationships/hyperlink" Target="mailto:sunita.nair@school.com" TargetMode="External"/><Relationship Id="rId24" Type="http://schemas.openxmlformats.org/officeDocument/2006/relationships/hyperlink" Target="mailto:vinay.iyer@school.com" TargetMode="External"/><Relationship Id="rId5" Type="http://schemas.openxmlformats.org/officeDocument/2006/relationships/hyperlink" Target="mailto:kavita.reddy@school.com" TargetMode="External"/><Relationship Id="rId15" Type="http://schemas.openxmlformats.org/officeDocument/2006/relationships/hyperlink" Target="mailto:aarti.bose@school.com" TargetMode="External"/><Relationship Id="rId23" Type="http://schemas.openxmlformats.org/officeDocument/2006/relationships/hyperlink" Target="mailto:anita.malhotra@school.com" TargetMode="External"/><Relationship Id="rId28" Type="http://schemas.openxmlformats.org/officeDocument/2006/relationships/hyperlink" Target="mailto:nitin.joshi@school.com" TargetMode="External"/><Relationship Id="rId10" Type="http://schemas.openxmlformats.org/officeDocument/2006/relationships/hyperlink" Target="mailto:rohan.deshmukh@school.com" TargetMode="External"/><Relationship Id="rId19" Type="http://schemas.openxmlformats.org/officeDocument/2006/relationships/hyperlink" Target="mailto:geeta.kumar@school.com" TargetMode="External"/><Relationship Id="rId4" Type="http://schemas.openxmlformats.org/officeDocument/2006/relationships/hyperlink" Target="mailto:rahul.iyer@school.com" TargetMode="External"/><Relationship Id="rId9" Type="http://schemas.openxmlformats.org/officeDocument/2006/relationships/hyperlink" Target="mailto:pooja.mishra@school.com" TargetMode="External"/><Relationship Id="rId14" Type="http://schemas.openxmlformats.org/officeDocument/2006/relationships/hyperlink" Target="mailto:vijay.kapoor@school.com" TargetMode="External"/><Relationship Id="rId22" Type="http://schemas.openxmlformats.org/officeDocument/2006/relationships/hyperlink" Target="mailto:lata.gupta@school.com" TargetMode="External"/><Relationship Id="rId27" Type="http://schemas.openxmlformats.org/officeDocument/2006/relationships/hyperlink" Target="mailto:priyanka.singh@school.com" TargetMode="External"/><Relationship Id="rId30" Type="http://schemas.openxmlformats.org/officeDocument/2006/relationships/hyperlink" Target="mailto:arjun.sharma@schoo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iran.rao@school.com" TargetMode="External"/><Relationship Id="rId2" Type="http://schemas.openxmlformats.org/officeDocument/2006/relationships/hyperlink" Target="mailto:manoj.trivedi@school.com" TargetMode="External"/><Relationship Id="rId1" Type="http://schemas.openxmlformats.org/officeDocument/2006/relationships/hyperlink" Target="mailto:kavita.reddy@scho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1"/>
  <sheetViews>
    <sheetView topLeftCell="A2" workbookViewId="0">
      <selection activeCell="B1" sqref="B1"/>
    </sheetView>
  </sheetViews>
  <sheetFormatPr defaultRowHeight="14.4" x14ac:dyDescent="0.3"/>
  <cols>
    <col min="2" max="2" width="18" customWidth="1"/>
    <col min="3" max="3" width="12" customWidth="1"/>
  </cols>
  <sheetData>
    <row r="1" spans="2:3" ht="16.8" x14ac:dyDescent="0.3">
      <c r="B1" s="2" t="s">
        <v>1</v>
      </c>
      <c r="C1" s="1" t="s">
        <v>0</v>
      </c>
    </row>
    <row r="2" spans="2:3" ht="16.8" x14ac:dyDescent="0.3">
      <c r="B2" s="4" t="s">
        <v>2</v>
      </c>
      <c r="C2" s="3">
        <v>1</v>
      </c>
    </row>
    <row r="3" spans="2:3" ht="16.8" x14ac:dyDescent="0.3">
      <c r="B3" s="6" t="s">
        <v>3</v>
      </c>
      <c r="C3" s="5">
        <v>2</v>
      </c>
    </row>
    <row r="4" spans="2:3" ht="16.8" x14ac:dyDescent="0.3">
      <c r="B4" s="4" t="s">
        <v>4</v>
      </c>
      <c r="C4" s="3">
        <v>3</v>
      </c>
    </row>
    <row r="5" spans="2:3" ht="16.8" x14ac:dyDescent="0.3">
      <c r="B5" s="6" t="s">
        <v>5</v>
      </c>
      <c r="C5" s="5">
        <v>4</v>
      </c>
    </row>
    <row r="6" spans="2:3" ht="16.8" x14ac:dyDescent="0.3">
      <c r="B6" s="4" t="s">
        <v>6</v>
      </c>
      <c r="C6" s="3">
        <v>5</v>
      </c>
    </row>
    <row r="7" spans="2:3" ht="16.8" x14ac:dyDescent="0.3">
      <c r="B7" s="6" t="s">
        <v>7</v>
      </c>
      <c r="C7" s="5">
        <v>6</v>
      </c>
    </row>
    <row r="8" spans="2:3" ht="16.8" x14ac:dyDescent="0.3">
      <c r="B8" s="4" t="s">
        <v>8</v>
      </c>
      <c r="C8" s="3">
        <v>7</v>
      </c>
    </row>
    <row r="9" spans="2:3" ht="16.8" x14ac:dyDescent="0.3">
      <c r="B9" s="6" t="s">
        <v>9</v>
      </c>
      <c r="C9" s="5">
        <v>8</v>
      </c>
    </row>
    <row r="10" spans="2:3" ht="16.8" x14ac:dyDescent="0.3">
      <c r="B10" s="4" t="s">
        <v>10</v>
      </c>
      <c r="C10" s="3">
        <v>9</v>
      </c>
    </row>
    <row r="11" spans="2:3" ht="16.8" x14ac:dyDescent="0.3">
      <c r="B11" s="6" t="s">
        <v>11</v>
      </c>
      <c r="C11" s="5">
        <v>10</v>
      </c>
    </row>
    <row r="12" spans="2:3" ht="16.8" x14ac:dyDescent="0.3">
      <c r="B12" s="4" t="s">
        <v>12</v>
      </c>
      <c r="C12" s="3">
        <v>11</v>
      </c>
    </row>
    <row r="13" spans="2:3" ht="16.8" x14ac:dyDescent="0.3">
      <c r="B13" s="6" t="s">
        <v>13</v>
      </c>
      <c r="C13" s="5">
        <v>12</v>
      </c>
    </row>
    <row r="14" spans="2:3" ht="16.8" x14ac:dyDescent="0.3">
      <c r="B14" s="4" t="s">
        <v>14</v>
      </c>
      <c r="C14" s="3">
        <v>13</v>
      </c>
    </row>
    <row r="15" spans="2:3" ht="16.8" x14ac:dyDescent="0.3">
      <c r="B15" s="6" t="s">
        <v>15</v>
      </c>
      <c r="C15" s="5">
        <v>14</v>
      </c>
    </row>
    <row r="16" spans="2:3" ht="16.8" x14ac:dyDescent="0.3">
      <c r="B16" s="4" t="s">
        <v>16</v>
      </c>
      <c r="C16" s="3">
        <v>15</v>
      </c>
    </row>
    <row r="17" spans="2:3" ht="16.8" x14ac:dyDescent="0.3">
      <c r="B17" s="6" t="s">
        <v>17</v>
      </c>
      <c r="C17" s="5">
        <v>16</v>
      </c>
    </row>
    <row r="18" spans="2:3" ht="16.8" x14ac:dyDescent="0.3">
      <c r="B18" s="4" t="s">
        <v>18</v>
      </c>
      <c r="C18" s="3">
        <v>17</v>
      </c>
    </row>
    <row r="19" spans="2:3" ht="16.8" x14ac:dyDescent="0.3">
      <c r="B19" s="6" t="s">
        <v>19</v>
      </c>
      <c r="C19" s="5">
        <v>18</v>
      </c>
    </row>
    <row r="20" spans="2:3" ht="16.8" x14ac:dyDescent="0.3">
      <c r="B20" s="4" t="s">
        <v>20</v>
      </c>
      <c r="C20" s="3">
        <v>19</v>
      </c>
    </row>
    <row r="21" spans="2:3" ht="16.8" x14ac:dyDescent="0.3">
      <c r="B21" s="6" t="s">
        <v>21</v>
      </c>
      <c r="C21" s="5">
        <v>20</v>
      </c>
    </row>
    <row r="22" spans="2:3" ht="16.8" x14ac:dyDescent="0.3">
      <c r="B22" s="4" t="s">
        <v>22</v>
      </c>
      <c r="C22" s="3">
        <v>21</v>
      </c>
    </row>
    <row r="23" spans="2:3" ht="16.8" x14ac:dyDescent="0.3">
      <c r="B23" s="6" t="s">
        <v>23</v>
      </c>
      <c r="C23" s="5">
        <v>22</v>
      </c>
    </row>
    <row r="24" spans="2:3" ht="16.8" x14ac:dyDescent="0.3">
      <c r="B24" s="4" t="s">
        <v>24</v>
      </c>
      <c r="C24" s="3">
        <v>23</v>
      </c>
    </row>
    <row r="25" spans="2:3" ht="16.8" x14ac:dyDescent="0.3">
      <c r="B25" s="6" t="s">
        <v>25</v>
      </c>
      <c r="C25" s="5">
        <v>24</v>
      </c>
    </row>
    <row r="26" spans="2:3" ht="16.8" x14ac:dyDescent="0.3">
      <c r="B26" s="4" t="s">
        <v>26</v>
      </c>
      <c r="C26" s="3">
        <v>25</v>
      </c>
    </row>
    <row r="27" spans="2:3" ht="16.8" x14ac:dyDescent="0.3">
      <c r="B27" s="6" t="s">
        <v>27</v>
      </c>
      <c r="C27" s="5">
        <v>26</v>
      </c>
    </row>
    <row r="28" spans="2:3" ht="16.8" x14ac:dyDescent="0.3">
      <c r="B28" s="4" t="s">
        <v>28</v>
      </c>
      <c r="C28" s="3">
        <v>27</v>
      </c>
    </row>
    <row r="29" spans="2:3" ht="16.8" x14ac:dyDescent="0.3">
      <c r="B29" s="6" t="s">
        <v>29</v>
      </c>
      <c r="C29" s="5">
        <v>28</v>
      </c>
    </row>
    <row r="30" spans="2:3" ht="16.8" x14ac:dyDescent="0.3">
      <c r="B30" s="4" t="s">
        <v>30</v>
      </c>
      <c r="C30" s="3">
        <v>29</v>
      </c>
    </row>
    <row r="31" spans="2:3" ht="16.8" x14ac:dyDescent="0.3">
      <c r="B31" s="6" t="s">
        <v>31</v>
      </c>
      <c r="C31" s="5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0FCA-4F85-45E0-8A21-0AA211F193FB}">
  <dimension ref="D2:G32"/>
  <sheetViews>
    <sheetView workbookViewId="0">
      <selection activeCell="E3" sqref="E3"/>
    </sheetView>
  </sheetViews>
  <sheetFormatPr defaultRowHeight="14.4" x14ac:dyDescent="0.3"/>
  <cols>
    <col min="4" max="4" width="26.21875" bestFit="1" customWidth="1"/>
    <col min="5" max="5" width="15.21875" bestFit="1" customWidth="1"/>
    <col min="6" max="6" width="15.21875" customWidth="1"/>
  </cols>
  <sheetData>
    <row r="2" spans="4:7" x14ac:dyDescent="0.3">
      <c r="D2" t="s">
        <v>33</v>
      </c>
      <c r="E2" t="s">
        <v>32</v>
      </c>
      <c r="G2" t="s">
        <v>34</v>
      </c>
    </row>
    <row r="3" spans="4:7" x14ac:dyDescent="0.3">
      <c r="D3" s="7" t="s">
        <v>35</v>
      </c>
      <c r="E3" t="s">
        <v>2</v>
      </c>
      <c r="F3">
        <f>VLOOKUP(E3,Id!$B$2:$C$31,2,)</f>
        <v>1</v>
      </c>
      <c r="G3">
        <v>9876543210</v>
      </c>
    </row>
    <row r="4" spans="4:7" x14ac:dyDescent="0.3">
      <c r="D4" s="7" t="s">
        <v>36</v>
      </c>
      <c r="E4" t="s">
        <v>3</v>
      </c>
      <c r="F4">
        <f>VLOOKUP(E4,Id!$B$2:$C$31,2,)</f>
        <v>2</v>
      </c>
      <c r="G4">
        <v>9876543211</v>
      </c>
    </row>
    <row r="5" spans="4:7" x14ac:dyDescent="0.3">
      <c r="D5" s="7" t="s">
        <v>37</v>
      </c>
      <c r="E5" t="s">
        <v>4</v>
      </c>
      <c r="F5">
        <f>VLOOKUP(E5,Id!$B$2:$C$31,2,)</f>
        <v>3</v>
      </c>
      <c r="G5">
        <v>9876543212</v>
      </c>
    </row>
    <row r="6" spans="4:7" x14ac:dyDescent="0.3">
      <c r="D6" s="7" t="s">
        <v>38</v>
      </c>
      <c r="E6" t="s">
        <v>5</v>
      </c>
      <c r="F6">
        <f>VLOOKUP(E6,Id!$B$2:$C$31,2,)</f>
        <v>4</v>
      </c>
      <c r="G6">
        <v>9876543213</v>
      </c>
    </row>
    <row r="7" spans="4:7" x14ac:dyDescent="0.3">
      <c r="D7" s="7" t="s">
        <v>39</v>
      </c>
      <c r="E7" t="s">
        <v>6</v>
      </c>
      <c r="F7">
        <f>VLOOKUP(E7,Id!$B$2:$C$31,2,)</f>
        <v>5</v>
      </c>
      <c r="G7">
        <v>9876543214</v>
      </c>
    </row>
    <row r="8" spans="4:7" x14ac:dyDescent="0.3">
      <c r="D8" s="7" t="s">
        <v>40</v>
      </c>
      <c r="E8" t="s">
        <v>7</v>
      </c>
      <c r="F8">
        <f>VLOOKUP(E8,Id!$B$2:$C$31,2,)</f>
        <v>6</v>
      </c>
      <c r="G8">
        <v>9876543215</v>
      </c>
    </row>
    <row r="9" spans="4:7" x14ac:dyDescent="0.3">
      <c r="D9" s="7" t="s">
        <v>41</v>
      </c>
      <c r="E9" t="s">
        <v>8</v>
      </c>
      <c r="F9">
        <f>VLOOKUP(E9,Id!$B$2:$C$31,2,)</f>
        <v>7</v>
      </c>
      <c r="G9">
        <v>9876543216</v>
      </c>
    </row>
    <row r="10" spans="4:7" x14ac:dyDescent="0.3">
      <c r="D10" s="7" t="s">
        <v>42</v>
      </c>
      <c r="E10" t="s">
        <v>9</v>
      </c>
      <c r="F10">
        <f>VLOOKUP(E10,Id!$B$2:$C$31,2,)</f>
        <v>8</v>
      </c>
      <c r="G10">
        <v>9876543217</v>
      </c>
    </row>
    <row r="11" spans="4:7" x14ac:dyDescent="0.3">
      <c r="D11" s="7" t="s">
        <v>43</v>
      </c>
      <c r="E11" t="s">
        <v>10</v>
      </c>
      <c r="F11">
        <f>VLOOKUP(E11,Id!$B$2:$C$31,2,)</f>
        <v>9</v>
      </c>
      <c r="G11">
        <v>9876543218</v>
      </c>
    </row>
    <row r="12" spans="4:7" x14ac:dyDescent="0.3">
      <c r="D12" s="7" t="s">
        <v>44</v>
      </c>
      <c r="E12" t="s">
        <v>11</v>
      </c>
      <c r="F12">
        <f>VLOOKUP(E12,Id!$B$2:$C$31,2,)</f>
        <v>10</v>
      </c>
      <c r="G12">
        <v>9876543219</v>
      </c>
    </row>
    <row r="13" spans="4:7" x14ac:dyDescent="0.3">
      <c r="D13" s="7" t="s">
        <v>45</v>
      </c>
      <c r="E13" t="s">
        <v>12</v>
      </c>
      <c r="F13">
        <f>VLOOKUP(E13,Id!$B$2:$C$31,2,)</f>
        <v>11</v>
      </c>
      <c r="G13">
        <v>9876543220</v>
      </c>
    </row>
    <row r="14" spans="4:7" x14ac:dyDescent="0.3">
      <c r="D14" s="7" t="s">
        <v>46</v>
      </c>
      <c r="E14" t="s">
        <v>13</v>
      </c>
      <c r="F14">
        <f>VLOOKUP(E14,Id!$B$2:$C$31,2,)</f>
        <v>12</v>
      </c>
      <c r="G14">
        <v>9876543221</v>
      </c>
    </row>
    <row r="15" spans="4:7" x14ac:dyDescent="0.3">
      <c r="D15" s="7" t="s">
        <v>47</v>
      </c>
      <c r="E15" t="s">
        <v>14</v>
      </c>
      <c r="F15">
        <f>VLOOKUP(E15,Id!$B$2:$C$31,2,)</f>
        <v>13</v>
      </c>
      <c r="G15">
        <v>9876543222</v>
      </c>
    </row>
    <row r="16" spans="4:7" x14ac:dyDescent="0.3">
      <c r="D16" s="7" t="s">
        <v>48</v>
      </c>
      <c r="E16" t="s">
        <v>15</v>
      </c>
      <c r="F16">
        <f>VLOOKUP(E16,Id!$B$2:$C$31,2,)</f>
        <v>14</v>
      </c>
      <c r="G16">
        <v>9876543223</v>
      </c>
    </row>
    <row r="17" spans="4:7" x14ac:dyDescent="0.3">
      <c r="D17" s="7" t="s">
        <v>49</v>
      </c>
      <c r="E17" t="s">
        <v>16</v>
      </c>
      <c r="F17">
        <f>VLOOKUP(E17,Id!$B$2:$C$31,2,)</f>
        <v>15</v>
      </c>
      <c r="G17">
        <v>9876543224</v>
      </c>
    </row>
    <row r="18" spans="4:7" x14ac:dyDescent="0.3">
      <c r="D18" s="7" t="s">
        <v>50</v>
      </c>
      <c r="E18" t="s">
        <v>17</v>
      </c>
      <c r="F18">
        <f>VLOOKUP(E18,Id!$B$2:$C$31,2,)</f>
        <v>16</v>
      </c>
      <c r="G18">
        <v>9876543225</v>
      </c>
    </row>
    <row r="19" spans="4:7" x14ac:dyDescent="0.3">
      <c r="D19" s="7" t="s">
        <v>51</v>
      </c>
      <c r="E19" t="s">
        <v>18</v>
      </c>
      <c r="F19">
        <f>VLOOKUP(E19,Id!$B$2:$C$31,2,)</f>
        <v>17</v>
      </c>
      <c r="G19">
        <v>9876543226</v>
      </c>
    </row>
    <row r="20" spans="4:7" x14ac:dyDescent="0.3">
      <c r="D20" s="7" t="s">
        <v>52</v>
      </c>
      <c r="E20" t="s">
        <v>19</v>
      </c>
      <c r="F20">
        <f>VLOOKUP(E20,Id!$B$2:$C$31,2,)</f>
        <v>18</v>
      </c>
      <c r="G20">
        <v>9876543227</v>
      </c>
    </row>
    <row r="21" spans="4:7" x14ac:dyDescent="0.3">
      <c r="D21" s="7" t="s">
        <v>53</v>
      </c>
      <c r="E21" t="s">
        <v>20</v>
      </c>
      <c r="F21">
        <f>VLOOKUP(E21,Id!$B$2:$C$31,2,)</f>
        <v>19</v>
      </c>
      <c r="G21">
        <v>9876543228</v>
      </c>
    </row>
    <row r="22" spans="4:7" x14ac:dyDescent="0.3">
      <c r="D22" s="7" t="s">
        <v>54</v>
      </c>
      <c r="E22" t="s">
        <v>21</v>
      </c>
      <c r="F22">
        <f>VLOOKUP(E22,Id!$B$2:$C$31,2,)</f>
        <v>20</v>
      </c>
      <c r="G22">
        <v>9876543229</v>
      </c>
    </row>
    <row r="23" spans="4:7" x14ac:dyDescent="0.3">
      <c r="D23" s="7" t="s">
        <v>55</v>
      </c>
      <c r="E23" t="s">
        <v>22</v>
      </c>
      <c r="F23">
        <f>VLOOKUP(E23,Id!$B$2:$C$31,2,)</f>
        <v>21</v>
      </c>
      <c r="G23">
        <v>9876543230</v>
      </c>
    </row>
    <row r="24" spans="4:7" x14ac:dyDescent="0.3">
      <c r="D24" s="7" t="s">
        <v>56</v>
      </c>
      <c r="E24" t="s">
        <v>23</v>
      </c>
      <c r="F24">
        <f>VLOOKUP(E24,Id!$B$2:$C$31,2,)</f>
        <v>22</v>
      </c>
      <c r="G24">
        <v>9876543231</v>
      </c>
    </row>
    <row r="25" spans="4:7" x14ac:dyDescent="0.3">
      <c r="D25" s="7" t="s">
        <v>57</v>
      </c>
      <c r="E25" t="s">
        <v>24</v>
      </c>
      <c r="F25">
        <f>VLOOKUP(E25,Id!$B$2:$C$31,2,)</f>
        <v>23</v>
      </c>
      <c r="G25">
        <v>9876543232</v>
      </c>
    </row>
    <row r="26" spans="4:7" x14ac:dyDescent="0.3">
      <c r="D26" s="7" t="s">
        <v>58</v>
      </c>
      <c r="E26" t="s">
        <v>25</v>
      </c>
      <c r="F26">
        <f>VLOOKUP(E26,Id!$B$2:$C$31,2,)</f>
        <v>24</v>
      </c>
      <c r="G26">
        <v>9876543233</v>
      </c>
    </row>
    <row r="27" spans="4:7" x14ac:dyDescent="0.3">
      <c r="D27" s="7" t="s">
        <v>59</v>
      </c>
      <c r="E27" t="s">
        <v>26</v>
      </c>
      <c r="F27">
        <f>VLOOKUP(E27,Id!$B$2:$C$31,2,)</f>
        <v>25</v>
      </c>
      <c r="G27">
        <v>9876543234</v>
      </c>
    </row>
    <row r="28" spans="4:7" x14ac:dyDescent="0.3">
      <c r="D28" s="7" t="s">
        <v>60</v>
      </c>
      <c r="E28" t="s">
        <v>27</v>
      </c>
      <c r="F28">
        <f>VLOOKUP(E28,Id!$B$2:$C$31,2,)</f>
        <v>26</v>
      </c>
      <c r="G28">
        <v>9876543235</v>
      </c>
    </row>
    <row r="29" spans="4:7" x14ac:dyDescent="0.3">
      <c r="D29" s="7" t="s">
        <v>61</v>
      </c>
      <c r="E29" t="s">
        <v>28</v>
      </c>
      <c r="F29">
        <f>VLOOKUP(E29,Id!$B$2:$C$31,2,)</f>
        <v>27</v>
      </c>
      <c r="G29">
        <v>9876543236</v>
      </c>
    </row>
    <row r="30" spans="4:7" x14ac:dyDescent="0.3">
      <c r="D30" s="7" t="s">
        <v>62</v>
      </c>
      <c r="E30" t="s">
        <v>29</v>
      </c>
      <c r="F30">
        <f>VLOOKUP(E30,Id!$B$2:$C$31,2,)</f>
        <v>28</v>
      </c>
      <c r="G30">
        <v>9876543237</v>
      </c>
    </row>
    <row r="31" spans="4:7" x14ac:dyDescent="0.3">
      <c r="D31" s="7" t="s">
        <v>63</v>
      </c>
      <c r="E31" t="s">
        <v>30</v>
      </c>
      <c r="F31">
        <f>VLOOKUP(E31,Id!$B$2:$C$31,2,)</f>
        <v>29</v>
      </c>
      <c r="G31">
        <v>9876543238</v>
      </c>
    </row>
    <row r="32" spans="4:7" x14ac:dyDescent="0.3">
      <c r="D32" s="7" t="s">
        <v>64</v>
      </c>
      <c r="E32" t="s">
        <v>31</v>
      </c>
      <c r="F32">
        <f>VLOOKUP(E32,Id!$B$2:$C$31,2,)</f>
        <v>30</v>
      </c>
      <c r="G32">
        <v>9876543239</v>
      </c>
    </row>
  </sheetData>
  <hyperlinks>
    <hyperlink ref="D4" r:id="rId1" xr:uid="{1860D60D-E1CD-482B-999C-7D5A7B1496BB}"/>
    <hyperlink ref="D5" r:id="rId2" xr:uid="{BF621772-9D62-41FB-9B0B-A794C19CD032}"/>
    <hyperlink ref="D6" r:id="rId3" xr:uid="{33FE231B-0EFB-498E-B903-8610E867ED56}"/>
    <hyperlink ref="D7" r:id="rId4" xr:uid="{ABBDE535-040F-4D2B-AF2D-1C0BE46795FA}"/>
    <hyperlink ref="D8" r:id="rId5" xr:uid="{86330E7A-E3F9-4C0F-9A52-51B122325F5B}"/>
    <hyperlink ref="D9" r:id="rId6" xr:uid="{74508DF4-2F98-4B61-A191-D895B0C59203}"/>
    <hyperlink ref="D10" r:id="rId7" xr:uid="{46FBF588-3D8A-4C50-ACDC-75FAC4B7FC21}"/>
    <hyperlink ref="D11" r:id="rId8" xr:uid="{FD72298A-3A11-4677-94F1-5F7EDE127063}"/>
    <hyperlink ref="D12" r:id="rId9" xr:uid="{8DBAE777-9F1E-4324-ABC4-4F4A19A2A69F}"/>
    <hyperlink ref="D13" r:id="rId10" xr:uid="{F96E7AEA-959E-486B-A1E0-490C4E3C8B0D}"/>
    <hyperlink ref="D14" r:id="rId11" xr:uid="{0A19B1B3-A7BD-4C20-B57C-CBD91CDBC87F}"/>
    <hyperlink ref="D15" r:id="rId12" xr:uid="{D08C382C-DB64-4884-B96E-304870B1937C}"/>
    <hyperlink ref="D16" r:id="rId13" xr:uid="{D63459E6-38B3-451B-9F97-BDAD02C6244A}"/>
    <hyperlink ref="D17" r:id="rId14" xr:uid="{60262BE7-6241-45A2-86C2-81A1E971B319}"/>
    <hyperlink ref="D18" r:id="rId15" xr:uid="{62319E13-85A3-4842-9629-2372C49C320A}"/>
    <hyperlink ref="D19" r:id="rId16" xr:uid="{3E07BF8E-0DFF-4FBF-A0FD-4D1F03B8DF92}"/>
    <hyperlink ref="D20" r:id="rId17" xr:uid="{88E7BFD1-30D6-4C89-8127-1892E9737D52}"/>
    <hyperlink ref="D21" r:id="rId18" xr:uid="{F942C5EB-CC96-4666-A7F1-047D1776FB06}"/>
    <hyperlink ref="D22" r:id="rId19" xr:uid="{12DE3ED9-4892-4492-BA8C-FFD6CDF30387}"/>
    <hyperlink ref="D23" r:id="rId20" xr:uid="{C9B2D98A-276E-4C99-B808-55397F6E5820}"/>
    <hyperlink ref="D24" r:id="rId21" xr:uid="{5BFFF988-9220-4F7B-9B38-35C33F1B4BFD}"/>
    <hyperlink ref="D25" r:id="rId22" xr:uid="{44957BCB-79D3-4C9E-A5ED-F1D14D59B7E6}"/>
    <hyperlink ref="D26" r:id="rId23" xr:uid="{727E53E3-3E05-4450-9177-6CEE4833FBB3}"/>
    <hyperlink ref="D27" r:id="rId24" xr:uid="{C15F5448-F3E6-4F00-9C41-7FA5C69026D0}"/>
    <hyperlink ref="D28" r:id="rId25" xr:uid="{616898DA-622F-47F5-B905-28E34AFFB3E0}"/>
    <hyperlink ref="D29" r:id="rId26" xr:uid="{99264C67-365D-4CF8-9BF6-BB59DF08C5D4}"/>
    <hyperlink ref="D30" r:id="rId27" xr:uid="{C21DC655-B201-4C3E-B048-476183673BAA}"/>
    <hyperlink ref="D31" r:id="rId28" xr:uid="{A3AD1E77-E58B-4514-87A6-196852596181}"/>
    <hyperlink ref="D32" r:id="rId29" xr:uid="{7D5F4CAE-052B-4BCF-886E-9AA2E414AA45}"/>
    <hyperlink ref="D3" r:id="rId30" xr:uid="{AE5A7D0A-C1D6-478C-A614-F16AA9D24D7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2ACE-3BA6-4421-9C20-65547CC6308C}">
  <dimension ref="A1:E241"/>
  <sheetViews>
    <sheetView tabSelected="1" workbookViewId="0">
      <selection activeCell="B5" sqref="B5"/>
    </sheetView>
  </sheetViews>
  <sheetFormatPr defaultRowHeight="14.4" x14ac:dyDescent="0.3"/>
  <cols>
    <col min="1" max="1" width="26.21875" bestFit="1" customWidth="1"/>
    <col min="2" max="3" width="26.21875" customWidth="1"/>
  </cols>
  <sheetData>
    <row r="1" spans="1:5" x14ac:dyDescent="0.3">
      <c r="A1" t="s">
        <v>65</v>
      </c>
      <c r="B1" t="s">
        <v>107</v>
      </c>
      <c r="C1" t="s">
        <v>106</v>
      </c>
      <c r="D1" t="s">
        <v>66</v>
      </c>
      <c r="E1" t="s">
        <v>67</v>
      </c>
    </row>
    <row r="2" spans="1:5" x14ac:dyDescent="0.3">
      <c r="A2" s="7" t="s">
        <v>40</v>
      </c>
      <c r="B2" t="str">
        <f>+VLOOKUP(A2,Teacher!$D$3:$F$32,2,)</f>
        <v>Kavita Reddy</v>
      </c>
      <c r="C2">
        <f>VLOOKUP(A2,Teacher!D3:F32,3,2)</f>
        <v>3</v>
      </c>
      <c r="D2" t="s">
        <v>68</v>
      </c>
      <c r="E2" t="s">
        <v>69</v>
      </c>
    </row>
    <row r="3" spans="1:5" x14ac:dyDescent="0.3">
      <c r="A3" s="7" t="s">
        <v>51</v>
      </c>
      <c r="B3" t="str">
        <f>+VLOOKUP(A3,Teacher!$D$3:$E$32,2,2)</f>
        <v>Anjali Gupta</v>
      </c>
      <c r="C3">
        <f>VLOOKUP(A3,Teacher!D4:F33,3,2)</f>
        <v>24</v>
      </c>
      <c r="D3" t="s">
        <v>68</v>
      </c>
      <c r="E3" t="s">
        <v>70</v>
      </c>
    </row>
    <row r="4" spans="1:5" x14ac:dyDescent="0.3">
      <c r="A4" s="7" t="s">
        <v>53</v>
      </c>
      <c r="B4" t="str">
        <f>+VLOOKUP(A4,Teacher!$D$3:$E$32,2,2)</f>
        <v>Anjali Gupta</v>
      </c>
      <c r="C4">
        <f>VLOOKUP(A4,Teacher!D5:F34,3,2)</f>
        <v>3</v>
      </c>
      <c r="D4" t="s">
        <v>68</v>
      </c>
      <c r="E4" t="s">
        <v>71</v>
      </c>
    </row>
    <row r="5" spans="1:5" x14ac:dyDescent="0.3">
      <c r="A5" t="s">
        <v>59</v>
      </c>
      <c r="B5" t="str">
        <f>+VLOOKUP(A5,Teacher!$D$3:$E$32,2,2)</f>
        <v>Sakshi Mishra</v>
      </c>
      <c r="C5">
        <f>VLOOKUP(A5,Teacher!D6:F35,3,2)</f>
        <v>30</v>
      </c>
      <c r="D5" t="s">
        <v>68</v>
      </c>
      <c r="E5" t="s">
        <v>72</v>
      </c>
    </row>
    <row r="6" spans="1:5" x14ac:dyDescent="0.3">
      <c r="A6" t="s">
        <v>64</v>
      </c>
      <c r="B6" t="str">
        <f>+VLOOKUP(A6,Teacher!$D$3:$E$32,2,2)</f>
        <v>Kavita Reddy</v>
      </c>
      <c r="C6">
        <f>VLOOKUP(A6,Teacher!D7:F36,3,2)</f>
        <v>30</v>
      </c>
      <c r="D6" t="s">
        <v>68</v>
      </c>
      <c r="E6" t="s">
        <v>73</v>
      </c>
    </row>
    <row r="7" spans="1:5" x14ac:dyDescent="0.3">
      <c r="A7" t="s">
        <v>44</v>
      </c>
      <c r="B7" t="str">
        <f>+VLOOKUP(A7,Teacher!$D$3:$F$32,2,)</f>
        <v>Pooja Mishra</v>
      </c>
      <c r="C7">
        <f>VLOOKUP(A7,Teacher!D8:F37,3,2)</f>
        <v>24</v>
      </c>
      <c r="D7" t="s">
        <v>68</v>
      </c>
      <c r="E7" t="s">
        <v>74</v>
      </c>
    </row>
    <row r="8" spans="1:5" x14ac:dyDescent="0.3">
      <c r="A8" t="s">
        <v>52</v>
      </c>
      <c r="B8" t="str">
        <f>+VLOOKUP(A8,Teacher!$D$3:$F$32,2,)</f>
        <v>Shweta Pandey</v>
      </c>
      <c r="C8">
        <f>VLOOKUP(A8,Teacher!D9:F38,3,2)</f>
        <v>20</v>
      </c>
      <c r="D8" t="s">
        <v>68</v>
      </c>
      <c r="E8" t="s">
        <v>75</v>
      </c>
    </row>
    <row r="9" spans="1:5" x14ac:dyDescent="0.3">
      <c r="A9" t="s">
        <v>37</v>
      </c>
      <c r="B9" t="str">
        <f>+VLOOKUP(A9,Teacher!$D$3:$F$32,2,)</f>
        <v>Anjali Gupta</v>
      </c>
      <c r="C9" t="e">
        <f>VLOOKUP(A9,Teacher!D10:F39,3,2)</f>
        <v>#N/A</v>
      </c>
      <c r="D9" t="s">
        <v>68</v>
      </c>
      <c r="E9" t="s">
        <v>76</v>
      </c>
    </row>
    <row r="10" spans="1:5" x14ac:dyDescent="0.3">
      <c r="A10" t="s">
        <v>57</v>
      </c>
      <c r="B10" t="str">
        <f>+VLOOKUP(A10,Teacher!$D$3:$F$32,2,)</f>
        <v>Lata Gupta</v>
      </c>
      <c r="C10">
        <f>VLOOKUP(A10,Teacher!D11:F40,3,2)</f>
        <v>23</v>
      </c>
      <c r="D10" t="s">
        <v>77</v>
      </c>
      <c r="E10" t="s">
        <v>74</v>
      </c>
    </row>
    <row r="11" spans="1:5" x14ac:dyDescent="0.3">
      <c r="A11" t="s">
        <v>38</v>
      </c>
      <c r="B11" t="str">
        <f>+VLOOKUP(A11,Teacher!$D$3:$F$32,2,)</f>
        <v>Sneha Malhotra</v>
      </c>
      <c r="C11">
        <f>VLOOKUP(A11,Teacher!D12:F41,3,2)</f>
        <v>30</v>
      </c>
      <c r="D11" t="s">
        <v>77</v>
      </c>
      <c r="E11" t="s">
        <v>72</v>
      </c>
    </row>
    <row r="12" spans="1:5" x14ac:dyDescent="0.3">
      <c r="A12" t="s">
        <v>47</v>
      </c>
      <c r="B12" t="str">
        <f>+VLOOKUP(A12,Teacher!$D$3:$F$32,2,)</f>
        <v>Amit Saxena</v>
      </c>
      <c r="C12">
        <f>VLOOKUP(A12,Teacher!D13:F42,3,2)</f>
        <v>13</v>
      </c>
      <c r="D12" t="s">
        <v>77</v>
      </c>
      <c r="E12" t="s">
        <v>73</v>
      </c>
    </row>
    <row r="13" spans="1:5" x14ac:dyDescent="0.3">
      <c r="A13" t="s">
        <v>62</v>
      </c>
      <c r="B13" t="str">
        <f>+VLOOKUP(A13,Teacher!$D$3:$F$32,2,)</f>
        <v>Priyanka Singh</v>
      </c>
      <c r="C13">
        <f>VLOOKUP(A13,Teacher!D14:F43,3,2)</f>
        <v>28</v>
      </c>
      <c r="D13" t="s">
        <v>77</v>
      </c>
      <c r="E13" t="s">
        <v>69</v>
      </c>
    </row>
    <row r="14" spans="1:5" x14ac:dyDescent="0.3">
      <c r="A14" t="s">
        <v>49</v>
      </c>
      <c r="B14" t="str">
        <f>+VLOOKUP(A14,Teacher!$D$3:$F$32,2,)</f>
        <v>Vijay Kapoor</v>
      </c>
      <c r="C14">
        <f>VLOOKUP(A14,Teacher!D15:F44,3,2)</f>
        <v>30</v>
      </c>
      <c r="D14" t="s">
        <v>77</v>
      </c>
      <c r="E14" t="s">
        <v>70</v>
      </c>
    </row>
    <row r="15" spans="1:5" x14ac:dyDescent="0.3">
      <c r="A15" t="s">
        <v>50</v>
      </c>
      <c r="B15" t="str">
        <f>+VLOOKUP(A15,Teacher!$D$3:$F$32,2,)</f>
        <v>Aarti Bose</v>
      </c>
      <c r="C15">
        <f>VLOOKUP(A15,Teacher!D16:F45,3,2)</f>
        <v>16</v>
      </c>
      <c r="D15" t="s">
        <v>77</v>
      </c>
      <c r="E15" t="s">
        <v>76</v>
      </c>
    </row>
    <row r="16" spans="1:5" x14ac:dyDescent="0.3">
      <c r="A16" t="s">
        <v>46</v>
      </c>
      <c r="B16" t="str">
        <f>+VLOOKUP(A16,Teacher!$D$3:$F$32,2,)</f>
        <v>Sunita Nair</v>
      </c>
      <c r="C16">
        <f>VLOOKUP(A16,Teacher!D17:F46,3,2)</f>
        <v>30</v>
      </c>
      <c r="D16" t="s">
        <v>77</v>
      </c>
      <c r="E16" t="s">
        <v>75</v>
      </c>
    </row>
    <row r="17" spans="1:5" x14ac:dyDescent="0.3">
      <c r="A17" t="s">
        <v>46</v>
      </c>
      <c r="B17" t="str">
        <f>+VLOOKUP(A17,Teacher!$D$3:$F$32,2,)</f>
        <v>Sunita Nair</v>
      </c>
      <c r="C17">
        <f>VLOOKUP(A17,Teacher!D18:F47,3,2)</f>
        <v>30</v>
      </c>
      <c r="D17" t="s">
        <v>77</v>
      </c>
      <c r="E17" t="s">
        <v>71</v>
      </c>
    </row>
    <row r="18" spans="1:5" x14ac:dyDescent="0.3">
      <c r="A18" t="s">
        <v>44</v>
      </c>
      <c r="B18" t="str">
        <f>+VLOOKUP(A18,Teacher!$D$3:$F$32,2,)</f>
        <v>Pooja Mishra</v>
      </c>
      <c r="C18">
        <f>VLOOKUP(A18,Teacher!D19:F48,3,2)</f>
        <v>29</v>
      </c>
      <c r="D18" t="s">
        <v>78</v>
      </c>
      <c r="E18" t="s">
        <v>74</v>
      </c>
    </row>
    <row r="19" spans="1:5" x14ac:dyDescent="0.3">
      <c r="A19" t="s">
        <v>44</v>
      </c>
      <c r="B19" t="str">
        <f>+VLOOKUP(A19,Teacher!$D$3:$F$32,2,)</f>
        <v>Pooja Mishra</v>
      </c>
      <c r="C19">
        <f>VLOOKUP(A19,Teacher!D20:F49,3,2)</f>
        <v>24</v>
      </c>
      <c r="D19" t="s">
        <v>78</v>
      </c>
      <c r="E19" t="s">
        <v>76</v>
      </c>
    </row>
    <row r="20" spans="1:5" x14ac:dyDescent="0.3">
      <c r="A20" t="s">
        <v>60</v>
      </c>
      <c r="B20" t="str">
        <f>+VLOOKUP(A20,Teacher!$D$3:$F$32,2,)</f>
        <v>Preeti Reddy</v>
      </c>
      <c r="C20">
        <f>VLOOKUP(A20,Teacher!D21:F50,3,2)</f>
        <v>20</v>
      </c>
      <c r="D20" t="s">
        <v>78</v>
      </c>
      <c r="E20" t="s">
        <v>70</v>
      </c>
    </row>
    <row r="21" spans="1:5" x14ac:dyDescent="0.3">
      <c r="A21" t="s">
        <v>41</v>
      </c>
      <c r="B21" t="str">
        <f>+VLOOKUP(A21,Teacher!$D$3:$F$32,2,)</f>
        <v>Sanjay Patel</v>
      </c>
      <c r="C21">
        <f>VLOOKUP(A21,Teacher!D22:F51,3,2)</f>
        <v>30</v>
      </c>
      <c r="D21" t="s">
        <v>78</v>
      </c>
      <c r="E21" t="s">
        <v>75</v>
      </c>
    </row>
    <row r="22" spans="1:5" x14ac:dyDescent="0.3">
      <c r="A22" t="s">
        <v>47</v>
      </c>
      <c r="B22" t="str">
        <f>+VLOOKUP(A22,Teacher!$D$3:$F$32,2,)</f>
        <v>Amit Saxena</v>
      </c>
      <c r="C22">
        <f>VLOOKUP(A22,Teacher!D23:F52,3,2)</f>
        <v>27</v>
      </c>
      <c r="D22" t="s">
        <v>78</v>
      </c>
      <c r="E22" t="s">
        <v>71</v>
      </c>
    </row>
    <row r="23" spans="1:5" x14ac:dyDescent="0.3">
      <c r="A23" t="s">
        <v>40</v>
      </c>
      <c r="B23" t="str">
        <f>+VLOOKUP(A23,Teacher!$D$3:$F$32,2,)</f>
        <v>Kavita Reddy</v>
      </c>
      <c r="C23">
        <f>VLOOKUP(A23,Teacher!D24:F53,3,2)</f>
        <v>24</v>
      </c>
      <c r="D23" t="s">
        <v>78</v>
      </c>
      <c r="E23" t="s">
        <v>69</v>
      </c>
    </row>
    <row r="24" spans="1:5" x14ac:dyDescent="0.3">
      <c r="A24" t="s">
        <v>38</v>
      </c>
      <c r="B24" t="str">
        <f>+VLOOKUP(A24,Teacher!$D$3:$F$32,2,)</f>
        <v>Sneha Malhotra</v>
      </c>
      <c r="C24">
        <f>VLOOKUP(A24,Teacher!D25:F54,3,2)</f>
        <v>30</v>
      </c>
      <c r="D24" t="s">
        <v>78</v>
      </c>
      <c r="E24" t="s">
        <v>72</v>
      </c>
    </row>
    <row r="25" spans="1:5" x14ac:dyDescent="0.3">
      <c r="A25" t="s">
        <v>37</v>
      </c>
      <c r="B25" t="str">
        <f>+VLOOKUP(A25,Teacher!$D$3:$F$32,2,)</f>
        <v>Anjali Gupta</v>
      </c>
      <c r="C25">
        <f>VLOOKUP(A25,Teacher!D26:F55,3,2)</f>
        <v>24</v>
      </c>
      <c r="D25" t="s">
        <v>78</v>
      </c>
      <c r="E25" t="s">
        <v>73</v>
      </c>
    </row>
    <row r="26" spans="1:5" x14ac:dyDescent="0.3">
      <c r="A26" t="s">
        <v>59</v>
      </c>
      <c r="B26" t="str">
        <f>+VLOOKUP(A26,Teacher!$D$3:$F$32,2,)</f>
        <v>Vinay Iyer</v>
      </c>
      <c r="C26">
        <f>VLOOKUP(A26,Teacher!D27:F56,3,2)</f>
        <v>30</v>
      </c>
      <c r="D26" t="s">
        <v>79</v>
      </c>
      <c r="E26" t="s">
        <v>76</v>
      </c>
    </row>
    <row r="27" spans="1:5" x14ac:dyDescent="0.3">
      <c r="A27" t="s">
        <v>42</v>
      </c>
      <c r="B27" t="str">
        <f>+VLOOKUP(A27,Teacher!$D$3:$F$32,2,)</f>
        <v>Meera Singh</v>
      </c>
      <c r="C27" t="e">
        <f>VLOOKUP(A27,Teacher!D28:F57,3,2)</f>
        <v>#N/A</v>
      </c>
      <c r="D27" t="s">
        <v>79</v>
      </c>
      <c r="E27" t="s">
        <v>73</v>
      </c>
    </row>
    <row r="28" spans="1:5" x14ac:dyDescent="0.3">
      <c r="A28" t="s">
        <v>38</v>
      </c>
      <c r="B28" t="str">
        <f>+VLOOKUP(A28,Teacher!$D$3:$F$32,2,)</f>
        <v>Sneha Malhotra</v>
      </c>
      <c r="C28">
        <f>VLOOKUP(A28,Teacher!D29:F58,3,2)</f>
        <v>30</v>
      </c>
      <c r="D28" t="s">
        <v>79</v>
      </c>
      <c r="E28" t="s">
        <v>75</v>
      </c>
    </row>
    <row r="29" spans="1:5" x14ac:dyDescent="0.3">
      <c r="A29" t="s">
        <v>47</v>
      </c>
      <c r="B29" t="str">
        <f>+VLOOKUP(A29,Teacher!$D$3:$F$32,2,)</f>
        <v>Amit Saxena</v>
      </c>
      <c r="C29" t="e">
        <f>VLOOKUP(A29,Teacher!D30:F59,3,2)</f>
        <v>#N/A</v>
      </c>
      <c r="D29" t="s">
        <v>79</v>
      </c>
      <c r="E29" t="s">
        <v>74</v>
      </c>
    </row>
    <row r="30" spans="1:5" x14ac:dyDescent="0.3">
      <c r="A30" t="s">
        <v>36</v>
      </c>
      <c r="B30" t="str">
        <f>+VLOOKUP(A30,Teacher!$D$3:$F$32,2,)</f>
        <v>Deepak Verma</v>
      </c>
      <c r="C30" t="e">
        <f>VLOOKUP(A30,Teacher!D31:F60,3,2)</f>
        <v>#N/A</v>
      </c>
      <c r="D30" t="s">
        <v>79</v>
      </c>
      <c r="E30" t="s">
        <v>69</v>
      </c>
    </row>
    <row r="31" spans="1:5" x14ac:dyDescent="0.3">
      <c r="A31" t="s">
        <v>40</v>
      </c>
      <c r="B31" t="str">
        <f>+VLOOKUP(A31,Teacher!$D$3:$F$32,2,)</f>
        <v>Kavita Reddy</v>
      </c>
      <c r="C31" t="e">
        <f>VLOOKUP(A31,Teacher!D32:F61,3,2)</f>
        <v>#N/A</v>
      </c>
      <c r="D31" t="s">
        <v>79</v>
      </c>
      <c r="E31" t="s">
        <v>70</v>
      </c>
    </row>
    <row r="32" spans="1:5" x14ac:dyDescent="0.3">
      <c r="A32" t="s">
        <v>43</v>
      </c>
      <c r="B32" t="str">
        <f>+VLOOKUP(A32,Teacher!$D$3:$F$32,2,)</f>
        <v>Vikram Joshi</v>
      </c>
      <c r="C32" t="e">
        <f>VLOOKUP(A32,Teacher!D33:F62,3,2)</f>
        <v>#N/A</v>
      </c>
      <c r="D32" t="s">
        <v>79</v>
      </c>
      <c r="E32" t="s">
        <v>71</v>
      </c>
    </row>
    <row r="33" spans="1:5" x14ac:dyDescent="0.3">
      <c r="A33" t="s">
        <v>64</v>
      </c>
      <c r="B33" t="str">
        <f>+VLOOKUP(A33,Teacher!$D$3:$F$32,2,)</f>
        <v>Sakshi Mishra</v>
      </c>
      <c r="C33" t="e">
        <f>VLOOKUP(A33,Teacher!D34:F63,3,2)</f>
        <v>#N/A</v>
      </c>
      <c r="D33" t="s">
        <v>79</v>
      </c>
      <c r="E33" t="s">
        <v>72</v>
      </c>
    </row>
    <row r="34" spans="1:5" x14ac:dyDescent="0.3">
      <c r="A34" t="s">
        <v>38</v>
      </c>
      <c r="B34" t="str">
        <f>+VLOOKUP(A34,Teacher!$D$3:$F$32,2,)</f>
        <v>Sneha Malhotra</v>
      </c>
      <c r="C34" t="e">
        <f>VLOOKUP(A34,Teacher!D35:F64,3,2)</f>
        <v>#N/A</v>
      </c>
      <c r="D34" t="s">
        <v>80</v>
      </c>
      <c r="E34" t="s">
        <v>70</v>
      </c>
    </row>
    <row r="35" spans="1:5" x14ac:dyDescent="0.3">
      <c r="A35" t="s">
        <v>46</v>
      </c>
      <c r="B35" t="str">
        <f>+VLOOKUP(A35,Teacher!$D$3:$F$32,2,)</f>
        <v>Sunita Nair</v>
      </c>
      <c r="C35" t="e">
        <f>VLOOKUP(A35,Teacher!D36:F65,3,2)</f>
        <v>#N/A</v>
      </c>
      <c r="D35" t="s">
        <v>80</v>
      </c>
      <c r="E35" t="s">
        <v>73</v>
      </c>
    </row>
    <row r="36" spans="1:5" x14ac:dyDescent="0.3">
      <c r="A36" t="s">
        <v>56</v>
      </c>
      <c r="B36" t="str">
        <f>+VLOOKUP(A36,Teacher!$D$3:$F$32,2,)</f>
        <v>Ramesh Verma</v>
      </c>
      <c r="C36" t="e">
        <f>VLOOKUP(A36,Teacher!D37:F66,3,2)</f>
        <v>#N/A</v>
      </c>
      <c r="D36" t="s">
        <v>80</v>
      </c>
      <c r="E36" t="s">
        <v>72</v>
      </c>
    </row>
    <row r="37" spans="1:5" x14ac:dyDescent="0.3">
      <c r="A37" t="s">
        <v>61</v>
      </c>
      <c r="B37" t="str">
        <f>+VLOOKUP(A37,Teacher!$D$3:$F$32,2,)</f>
        <v>Alok Patel</v>
      </c>
      <c r="C37" t="e">
        <f>VLOOKUP(A37,Teacher!D38:F67,3,2)</f>
        <v>#N/A</v>
      </c>
      <c r="D37" t="s">
        <v>80</v>
      </c>
      <c r="E37" t="s">
        <v>75</v>
      </c>
    </row>
    <row r="38" spans="1:5" x14ac:dyDescent="0.3">
      <c r="A38" t="s">
        <v>36</v>
      </c>
      <c r="B38" t="str">
        <f>+VLOOKUP(A38,Teacher!$D$3:$F$32,2,)</f>
        <v>Deepak Verma</v>
      </c>
      <c r="C38" t="e">
        <f>VLOOKUP(A38,Teacher!D39:F68,3,2)</f>
        <v>#N/A</v>
      </c>
      <c r="D38" t="s">
        <v>80</v>
      </c>
      <c r="E38" t="s">
        <v>74</v>
      </c>
    </row>
    <row r="39" spans="1:5" x14ac:dyDescent="0.3">
      <c r="A39" t="s">
        <v>39</v>
      </c>
      <c r="B39" t="str">
        <f>+VLOOKUP(A39,Teacher!$D$3:$F$32,2,)</f>
        <v>Rahul Iyer</v>
      </c>
      <c r="C39" t="e">
        <f>VLOOKUP(A39,Teacher!D40:F69,3,2)</f>
        <v>#N/A</v>
      </c>
      <c r="D39" t="s">
        <v>80</v>
      </c>
      <c r="E39" t="s">
        <v>69</v>
      </c>
    </row>
    <row r="40" spans="1:5" x14ac:dyDescent="0.3">
      <c r="A40" t="s">
        <v>56</v>
      </c>
      <c r="B40" t="str">
        <f>+VLOOKUP(A40,Teacher!$D$3:$F$32,2,)</f>
        <v>Ramesh Verma</v>
      </c>
      <c r="C40" t="e">
        <f>VLOOKUP(A40,Teacher!D41:F70,3,2)</f>
        <v>#N/A</v>
      </c>
      <c r="D40" t="s">
        <v>80</v>
      </c>
      <c r="E40" t="s">
        <v>71</v>
      </c>
    </row>
    <row r="41" spans="1:5" x14ac:dyDescent="0.3">
      <c r="A41" t="s">
        <v>63</v>
      </c>
      <c r="B41" t="str">
        <f>+VLOOKUP(A41,Teacher!$D$3:$F$32,2,)</f>
        <v>Nitin Joshi</v>
      </c>
      <c r="C41" t="e">
        <f>VLOOKUP(A41,Teacher!D42:F71,3,2)</f>
        <v>#N/A</v>
      </c>
      <c r="D41" t="s">
        <v>80</v>
      </c>
      <c r="E41" t="s">
        <v>76</v>
      </c>
    </row>
    <row r="42" spans="1:5" x14ac:dyDescent="0.3">
      <c r="A42" t="s">
        <v>64</v>
      </c>
      <c r="B42" t="str">
        <f>+VLOOKUP(A42,Teacher!$D$3:$F$32,2,)</f>
        <v>Sakshi Mishra</v>
      </c>
      <c r="C42" t="e">
        <f>VLOOKUP(A42,Teacher!D43:F72,3,2)</f>
        <v>#N/A</v>
      </c>
      <c r="D42" t="s">
        <v>81</v>
      </c>
      <c r="E42" t="s">
        <v>71</v>
      </c>
    </row>
    <row r="43" spans="1:5" x14ac:dyDescent="0.3">
      <c r="A43" t="s">
        <v>35</v>
      </c>
      <c r="B43" t="str">
        <f>+VLOOKUP(A43,Teacher!$D$3:$F$32,2,)</f>
        <v>Arjun Sharma</v>
      </c>
      <c r="C43" t="e">
        <f>VLOOKUP(A43,Teacher!D44:F73,3,2)</f>
        <v>#N/A</v>
      </c>
      <c r="D43" t="s">
        <v>81</v>
      </c>
      <c r="E43" t="s">
        <v>72</v>
      </c>
    </row>
    <row r="44" spans="1:5" x14ac:dyDescent="0.3">
      <c r="A44" t="s">
        <v>48</v>
      </c>
      <c r="B44" t="str">
        <f>+VLOOKUP(A44,Teacher!$D$3:$F$32,2,)</f>
        <v>Rashmi Chopra</v>
      </c>
      <c r="C44" t="e">
        <f>VLOOKUP(A44,Teacher!D45:F74,3,2)</f>
        <v>#N/A</v>
      </c>
      <c r="D44" t="s">
        <v>81</v>
      </c>
      <c r="E44" t="s">
        <v>76</v>
      </c>
    </row>
    <row r="45" spans="1:5" x14ac:dyDescent="0.3">
      <c r="A45" t="s">
        <v>48</v>
      </c>
      <c r="B45" t="str">
        <f>+VLOOKUP(A45,Teacher!$D$3:$F$32,2,)</f>
        <v>Rashmi Chopra</v>
      </c>
      <c r="C45" t="e">
        <f>VLOOKUP(A45,Teacher!D46:F75,3,2)</f>
        <v>#N/A</v>
      </c>
      <c r="D45" t="s">
        <v>81</v>
      </c>
      <c r="E45" t="s">
        <v>73</v>
      </c>
    </row>
    <row r="46" spans="1:5" x14ac:dyDescent="0.3">
      <c r="A46" t="s">
        <v>45</v>
      </c>
      <c r="B46" t="str">
        <f>+VLOOKUP(A46,Teacher!$D$3:$F$32,2,)</f>
        <v>Rohan Deshmukh</v>
      </c>
      <c r="C46" t="e">
        <f>VLOOKUP(A46,Teacher!D47:F76,3,2)</f>
        <v>#N/A</v>
      </c>
      <c r="D46" t="s">
        <v>81</v>
      </c>
      <c r="E46" t="s">
        <v>74</v>
      </c>
    </row>
    <row r="47" spans="1:5" x14ac:dyDescent="0.3">
      <c r="A47" t="s">
        <v>45</v>
      </c>
      <c r="B47" t="str">
        <f>+VLOOKUP(A47,Teacher!$D$3:$F$32,2,)</f>
        <v>Rohan Deshmukh</v>
      </c>
      <c r="C47" t="e">
        <f>VLOOKUP(A47,Teacher!D48:F77,3,2)</f>
        <v>#N/A</v>
      </c>
      <c r="D47" t="s">
        <v>81</v>
      </c>
      <c r="E47" t="s">
        <v>70</v>
      </c>
    </row>
    <row r="48" spans="1:5" x14ac:dyDescent="0.3">
      <c r="A48" t="s">
        <v>60</v>
      </c>
      <c r="B48" t="str">
        <f>+VLOOKUP(A48,Teacher!$D$3:$F$32,2,)</f>
        <v>Preeti Reddy</v>
      </c>
      <c r="C48" t="e">
        <f>VLOOKUP(A48,Teacher!D49:F78,3,2)</f>
        <v>#N/A</v>
      </c>
      <c r="D48" t="s">
        <v>81</v>
      </c>
      <c r="E48" t="s">
        <v>69</v>
      </c>
    </row>
    <row r="49" spans="1:5" x14ac:dyDescent="0.3">
      <c r="A49" t="s">
        <v>41</v>
      </c>
      <c r="B49" t="str">
        <f>+VLOOKUP(A49,Teacher!$D$3:$F$32,2,)</f>
        <v>Sanjay Patel</v>
      </c>
      <c r="C49" t="e">
        <f>VLOOKUP(A49,Teacher!D50:F79,3,2)</f>
        <v>#N/A</v>
      </c>
      <c r="D49" t="s">
        <v>81</v>
      </c>
      <c r="E49" t="s">
        <v>75</v>
      </c>
    </row>
    <row r="50" spans="1:5" x14ac:dyDescent="0.3">
      <c r="A50" t="s">
        <v>38</v>
      </c>
      <c r="B50" t="str">
        <f>+VLOOKUP(A50,Teacher!$D$3:$F$32,2,)</f>
        <v>Sneha Malhotra</v>
      </c>
      <c r="C50" t="e">
        <f>VLOOKUP(A50,Teacher!D51:F80,3,2)</f>
        <v>#N/A</v>
      </c>
      <c r="D50" t="s">
        <v>82</v>
      </c>
      <c r="E50" t="s">
        <v>73</v>
      </c>
    </row>
    <row r="51" spans="1:5" x14ac:dyDescent="0.3">
      <c r="A51" t="s">
        <v>59</v>
      </c>
      <c r="B51" t="str">
        <f>+VLOOKUP(A51,Teacher!$D$3:$F$32,2,)</f>
        <v>Vinay Iyer</v>
      </c>
      <c r="C51" t="e">
        <f>VLOOKUP(A51,Teacher!D52:F81,3,2)</f>
        <v>#N/A</v>
      </c>
      <c r="D51" t="s">
        <v>82</v>
      </c>
      <c r="E51" t="s">
        <v>75</v>
      </c>
    </row>
    <row r="52" spans="1:5" x14ac:dyDescent="0.3">
      <c r="A52" t="s">
        <v>51</v>
      </c>
      <c r="B52" t="str">
        <f>+VLOOKUP(A52,Teacher!$D$3:$F$32,2,)</f>
        <v>Manoj Trivedi</v>
      </c>
      <c r="C52" t="e">
        <f>VLOOKUP(A52,Teacher!D53:F82,3,2)</f>
        <v>#N/A</v>
      </c>
      <c r="D52" t="s">
        <v>82</v>
      </c>
      <c r="E52" t="s">
        <v>72</v>
      </c>
    </row>
    <row r="53" spans="1:5" x14ac:dyDescent="0.3">
      <c r="A53" t="s">
        <v>40</v>
      </c>
      <c r="B53" t="str">
        <f>+VLOOKUP(A53,Teacher!$D$3:$F$32,2,)</f>
        <v>Kavita Reddy</v>
      </c>
      <c r="C53" t="e">
        <f>VLOOKUP(A53,Teacher!D54:F83,3,2)</f>
        <v>#N/A</v>
      </c>
      <c r="D53" t="s">
        <v>82</v>
      </c>
      <c r="E53" t="s">
        <v>71</v>
      </c>
    </row>
    <row r="54" spans="1:5" x14ac:dyDescent="0.3">
      <c r="A54" t="s">
        <v>55</v>
      </c>
      <c r="B54" t="str">
        <f>+VLOOKUP(A54,Teacher!$D$3:$F$32,2,)</f>
        <v>Suresh Sharma</v>
      </c>
      <c r="C54" t="e">
        <f>VLOOKUP(A54,Teacher!D55:F84,3,2)</f>
        <v>#N/A</v>
      </c>
      <c r="D54" t="s">
        <v>82</v>
      </c>
      <c r="E54" t="s">
        <v>69</v>
      </c>
    </row>
    <row r="55" spans="1:5" x14ac:dyDescent="0.3">
      <c r="A55" t="s">
        <v>49</v>
      </c>
      <c r="B55" t="str">
        <f>+VLOOKUP(A55,Teacher!$D$3:$F$32,2,)</f>
        <v>Vijay Kapoor</v>
      </c>
      <c r="C55" t="e">
        <f>VLOOKUP(A55,Teacher!D56:F85,3,2)</f>
        <v>#N/A</v>
      </c>
      <c r="D55" t="s">
        <v>82</v>
      </c>
      <c r="E55" t="s">
        <v>74</v>
      </c>
    </row>
    <row r="56" spans="1:5" x14ac:dyDescent="0.3">
      <c r="A56" t="s">
        <v>51</v>
      </c>
      <c r="B56" t="str">
        <f>+VLOOKUP(A56,Teacher!$D$3:$F$32,2,)</f>
        <v>Manoj Trivedi</v>
      </c>
      <c r="C56" t="e">
        <f>VLOOKUP(A56,Teacher!D57:F86,3,2)</f>
        <v>#N/A</v>
      </c>
      <c r="D56" t="s">
        <v>82</v>
      </c>
      <c r="E56" t="s">
        <v>76</v>
      </c>
    </row>
    <row r="57" spans="1:5" x14ac:dyDescent="0.3">
      <c r="A57" t="s">
        <v>39</v>
      </c>
      <c r="B57" t="str">
        <f>+VLOOKUP(A57,Teacher!$D$3:$F$32,2,)</f>
        <v>Rahul Iyer</v>
      </c>
      <c r="C57" t="e">
        <f>VLOOKUP(A57,Teacher!D58:F87,3,2)</f>
        <v>#N/A</v>
      </c>
      <c r="D57" t="s">
        <v>82</v>
      </c>
      <c r="E57" t="s">
        <v>70</v>
      </c>
    </row>
    <row r="58" spans="1:5" x14ac:dyDescent="0.3">
      <c r="A58" t="s">
        <v>56</v>
      </c>
      <c r="B58" t="str">
        <f>+VLOOKUP(A58,Teacher!$D$3:$F$32,2,)</f>
        <v>Ramesh Verma</v>
      </c>
      <c r="C58" t="e">
        <f>VLOOKUP(A58,Teacher!D59:F88,3,2)</f>
        <v>#N/A</v>
      </c>
      <c r="D58" t="s">
        <v>83</v>
      </c>
      <c r="E58" t="s">
        <v>73</v>
      </c>
    </row>
    <row r="59" spans="1:5" x14ac:dyDescent="0.3">
      <c r="A59" t="s">
        <v>52</v>
      </c>
      <c r="B59" t="str">
        <f>+VLOOKUP(A59,Teacher!$D$3:$F$32,2,)</f>
        <v>Shweta Pandey</v>
      </c>
      <c r="C59" t="e">
        <f>VLOOKUP(A59,Teacher!D60:F89,3,2)</f>
        <v>#N/A</v>
      </c>
      <c r="D59" t="s">
        <v>83</v>
      </c>
      <c r="E59" t="s">
        <v>71</v>
      </c>
    </row>
    <row r="60" spans="1:5" x14ac:dyDescent="0.3">
      <c r="A60" t="s">
        <v>45</v>
      </c>
      <c r="B60" t="str">
        <f>+VLOOKUP(A60,Teacher!$D$3:$F$32,2,)</f>
        <v>Rohan Deshmukh</v>
      </c>
      <c r="C60" t="e">
        <f>VLOOKUP(A60,Teacher!D61:F90,3,2)</f>
        <v>#N/A</v>
      </c>
      <c r="D60" t="s">
        <v>83</v>
      </c>
      <c r="E60" t="s">
        <v>69</v>
      </c>
    </row>
    <row r="61" spans="1:5" x14ac:dyDescent="0.3">
      <c r="A61" t="s">
        <v>45</v>
      </c>
      <c r="B61" t="str">
        <f>+VLOOKUP(A61,Teacher!$D$3:$F$32,2,)</f>
        <v>Rohan Deshmukh</v>
      </c>
      <c r="C61" t="e">
        <f>VLOOKUP(A61,Teacher!D62:F91,3,2)</f>
        <v>#N/A</v>
      </c>
      <c r="D61" t="s">
        <v>83</v>
      </c>
      <c r="E61" t="s">
        <v>70</v>
      </c>
    </row>
    <row r="62" spans="1:5" x14ac:dyDescent="0.3">
      <c r="A62" t="s">
        <v>42</v>
      </c>
      <c r="B62" t="str">
        <f>+VLOOKUP(A62,Teacher!$D$3:$F$32,2,)</f>
        <v>Meera Singh</v>
      </c>
      <c r="C62" t="e">
        <f>VLOOKUP(A62,Teacher!D63:F92,3,2)</f>
        <v>#N/A</v>
      </c>
      <c r="D62" t="s">
        <v>83</v>
      </c>
      <c r="E62" t="s">
        <v>76</v>
      </c>
    </row>
    <row r="63" spans="1:5" x14ac:dyDescent="0.3">
      <c r="A63" t="s">
        <v>41</v>
      </c>
      <c r="B63" t="str">
        <f>+VLOOKUP(A63,Teacher!$D$3:$F$32,2,)</f>
        <v>Sanjay Patel</v>
      </c>
      <c r="C63" t="e">
        <f>VLOOKUP(A63,Teacher!D64:F93,3,2)</f>
        <v>#N/A</v>
      </c>
      <c r="D63" t="s">
        <v>83</v>
      </c>
      <c r="E63" t="s">
        <v>74</v>
      </c>
    </row>
    <row r="64" spans="1:5" x14ac:dyDescent="0.3">
      <c r="A64" t="s">
        <v>58</v>
      </c>
      <c r="B64" t="str">
        <f>+VLOOKUP(A64,Teacher!$D$3:$F$32,2,)</f>
        <v>Anita Malhotra</v>
      </c>
      <c r="C64" t="e">
        <f>VLOOKUP(A64,Teacher!D65:F94,3,2)</f>
        <v>#N/A</v>
      </c>
      <c r="D64" t="s">
        <v>83</v>
      </c>
      <c r="E64" t="s">
        <v>72</v>
      </c>
    </row>
    <row r="65" spans="1:5" x14ac:dyDescent="0.3">
      <c r="A65" t="s">
        <v>54</v>
      </c>
      <c r="B65" t="str">
        <f>+VLOOKUP(A65,Teacher!$D$3:$F$32,2,)</f>
        <v>Geeta Kumar</v>
      </c>
      <c r="C65" t="e">
        <f>VLOOKUP(A65,Teacher!D66:F95,3,2)</f>
        <v>#N/A</v>
      </c>
      <c r="D65" t="s">
        <v>83</v>
      </c>
      <c r="E65" t="s">
        <v>75</v>
      </c>
    </row>
    <row r="66" spans="1:5" x14ac:dyDescent="0.3">
      <c r="A66" t="s">
        <v>43</v>
      </c>
      <c r="B66" t="str">
        <f>+VLOOKUP(A66,Teacher!$D$3:$F$32,2,)</f>
        <v>Vikram Joshi</v>
      </c>
      <c r="C66" t="e">
        <f>VLOOKUP(A66,Teacher!D67:F96,3,2)</f>
        <v>#N/A</v>
      </c>
      <c r="D66" t="s">
        <v>84</v>
      </c>
      <c r="E66" t="s">
        <v>74</v>
      </c>
    </row>
    <row r="67" spans="1:5" x14ac:dyDescent="0.3">
      <c r="A67" t="s">
        <v>37</v>
      </c>
      <c r="B67" t="str">
        <f>+VLOOKUP(A67,Teacher!$D$3:$F$32,2,)</f>
        <v>Anjali Gupta</v>
      </c>
      <c r="C67" t="e">
        <f>VLOOKUP(A67,Teacher!D68:F97,3,2)</f>
        <v>#N/A</v>
      </c>
      <c r="D67" t="s">
        <v>84</v>
      </c>
      <c r="E67" t="s">
        <v>73</v>
      </c>
    </row>
    <row r="68" spans="1:5" x14ac:dyDescent="0.3">
      <c r="A68" t="s">
        <v>54</v>
      </c>
      <c r="B68" t="str">
        <f>+VLOOKUP(A68,Teacher!$D$3:$F$32,2,)</f>
        <v>Geeta Kumar</v>
      </c>
      <c r="C68" t="e">
        <f>VLOOKUP(A68,Teacher!D69:F98,3,2)</f>
        <v>#N/A</v>
      </c>
      <c r="D68" t="s">
        <v>84</v>
      </c>
      <c r="E68" t="s">
        <v>72</v>
      </c>
    </row>
    <row r="69" spans="1:5" x14ac:dyDescent="0.3">
      <c r="A69" t="s">
        <v>49</v>
      </c>
      <c r="B69" t="str">
        <f>+VLOOKUP(A69,Teacher!$D$3:$F$32,2,)</f>
        <v>Vijay Kapoor</v>
      </c>
      <c r="C69" t="e">
        <f>VLOOKUP(A69,Teacher!D70:F99,3,2)</f>
        <v>#N/A</v>
      </c>
      <c r="D69" t="s">
        <v>84</v>
      </c>
      <c r="E69" t="s">
        <v>76</v>
      </c>
    </row>
    <row r="70" spans="1:5" x14ac:dyDescent="0.3">
      <c r="A70" t="s">
        <v>61</v>
      </c>
      <c r="B70" t="str">
        <f>+VLOOKUP(A70,Teacher!$D$3:$F$32,2,)</f>
        <v>Alok Patel</v>
      </c>
      <c r="C70" t="e">
        <f>VLOOKUP(A70,Teacher!D71:F100,3,2)</f>
        <v>#N/A</v>
      </c>
      <c r="D70" t="s">
        <v>84</v>
      </c>
      <c r="E70" t="s">
        <v>70</v>
      </c>
    </row>
    <row r="71" spans="1:5" x14ac:dyDescent="0.3">
      <c r="A71" t="s">
        <v>63</v>
      </c>
      <c r="B71" t="str">
        <f>+VLOOKUP(A71,Teacher!$D$3:$F$32,2,)</f>
        <v>Nitin Joshi</v>
      </c>
      <c r="C71" t="e">
        <f>VLOOKUP(A71,Teacher!D72:F101,3,2)</f>
        <v>#N/A</v>
      </c>
      <c r="D71" t="s">
        <v>84</v>
      </c>
      <c r="E71" t="s">
        <v>71</v>
      </c>
    </row>
    <row r="72" spans="1:5" x14ac:dyDescent="0.3">
      <c r="A72" t="s">
        <v>45</v>
      </c>
      <c r="B72" t="str">
        <f>+VLOOKUP(A72,Teacher!$D$3:$F$32,2,)</f>
        <v>Rohan Deshmukh</v>
      </c>
      <c r="C72" t="e">
        <f>VLOOKUP(A72,Teacher!D73:F102,3,2)</f>
        <v>#N/A</v>
      </c>
      <c r="D72" t="s">
        <v>84</v>
      </c>
      <c r="E72" t="s">
        <v>75</v>
      </c>
    </row>
    <row r="73" spans="1:5" x14ac:dyDescent="0.3">
      <c r="A73" t="s">
        <v>62</v>
      </c>
      <c r="B73" t="str">
        <f>+VLOOKUP(A73,Teacher!$D$3:$F$32,2,)</f>
        <v>Priyanka Singh</v>
      </c>
      <c r="C73" t="e">
        <f>VLOOKUP(A73,Teacher!D74:F103,3,2)</f>
        <v>#N/A</v>
      </c>
      <c r="D73" t="s">
        <v>84</v>
      </c>
      <c r="E73" t="s">
        <v>69</v>
      </c>
    </row>
    <row r="74" spans="1:5" x14ac:dyDescent="0.3">
      <c r="A74" t="s">
        <v>50</v>
      </c>
      <c r="B74" t="str">
        <f>+VLOOKUP(A74,Teacher!$D$3:$F$32,2,)</f>
        <v>Aarti Bose</v>
      </c>
      <c r="C74" t="e">
        <f>VLOOKUP(A74,Teacher!D75:F104,3,2)</f>
        <v>#N/A</v>
      </c>
      <c r="D74" t="s">
        <v>85</v>
      </c>
      <c r="E74" t="s">
        <v>76</v>
      </c>
    </row>
    <row r="75" spans="1:5" x14ac:dyDescent="0.3">
      <c r="A75" t="s">
        <v>49</v>
      </c>
      <c r="B75" t="str">
        <f>+VLOOKUP(A75,Teacher!$D$3:$F$32,2,)</f>
        <v>Vijay Kapoor</v>
      </c>
      <c r="C75" t="e">
        <f>VLOOKUP(A75,Teacher!D76:F105,3,2)</f>
        <v>#N/A</v>
      </c>
      <c r="D75" t="s">
        <v>85</v>
      </c>
      <c r="E75" t="s">
        <v>70</v>
      </c>
    </row>
    <row r="76" spans="1:5" x14ac:dyDescent="0.3">
      <c r="A76" t="s">
        <v>47</v>
      </c>
      <c r="B76" t="str">
        <f>+VLOOKUP(A76,Teacher!$D$3:$F$32,2,)</f>
        <v>Amit Saxena</v>
      </c>
      <c r="C76" t="e">
        <f>VLOOKUP(A76,Teacher!D77:F106,3,2)</f>
        <v>#N/A</v>
      </c>
      <c r="D76" t="s">
        <v>85</v>
      </c>
      <c r="E76" t="s">
        <v>71</v>
      </c>
    </row>
    <row r="77" spans="1:5" x14ac:dyDescent="0.3">
      <c r="A77" t="s">
        <v>37</v>
      </c>
      <c r="B77" t="str">
        <f>+VLOOKUP(A77,Teacher!$D$3:$F$32,2,)</f>
        <v>Anjali Gupta</v>
      </c>
      <c r="C77" t="e">
        <f>VLOOKUP(A77,Teacher!D78:F107,3,2)</f>
        <v>#N/A</v>
      </c>
      <c r="D77" t="s">
        <v>85</v>
      </c>
      <c r="E77" t="s">
        <v>75</v>
      </c>
    </row>
    <row r="78" spans="1:5" x14ac:dyDescent="0.3">
      <c r="A78" t="s">
        <v>45</v>
      </c>
      <c r="B78" t="str">
        <f>+VLOOKUP(A78,Teacher!$D$3:$F$32,2,)</f>
        <v>Rohan Deshmukh</v>
      </c>
      <c r="C78" t="e">
        <f>VLOOKUP(A78,Teacher!D79:F108,3,2)</f>
        <v>#N/A</v>
      </c>
      <c r="D78" t="s">
        <v>85</v>
      </c>
      <c r="E78" t="s">
        <v>73</v>
      </c>
    </row>
    <row r="79" spans="1:5" x14ac:dyDescent="0.3">
      <c r="A79" t="s">
        <v>36</v>
      </c>
      <c r="B79" t="str">
        <f>+VLOOKUP(A79,Teacher!$D$3:$F$32,2,)</f>
        <v>Deepak Verma</v>
      </c>
      <c r="C79" t="e">
        <f>VLOOKUP(A79,Teacher!D80:F109,3,2)</f>
        <v>#N/A</v>
      </c>
      <c r="D79" t="s">
        <v>85</v>
      </c>
      <c r="E79" t="s">
        <v>69</v>
      </c>
    </row>
    <row r="80" spans="1:5" x14ac:dyDescent="0.3">
      <c r="A80" t="s">
        <v>38</v>
      </c>
      <c r="B80" t="str">
        <f>+VLOOKUP(A80,Teacher!$D$3:$F$32,2,)</f>
        <v>Sneha Malhotra</v>
      </c>
      <c r="C80" t="e">
        <f>VLOOKUP(A80,Teacher!D81:F110,3,2)</f>
        <v>#N/A</v>
      </c>
      <c r="D80" t="s">
        <v>85</v>
      </c>
      <c r="E80" t="s">
        <v>72</v>
      </c>
    </row>
    <row r="81" spans="1:5" x14ac:dyDescent="0.3">
      <c r="A81" t="s">
        <v>56</v>
      </c>
      <c r="B81" t="str">
        <f>+VLOOKUP(A81,Teacher!$D$3:$F$32,2,)</f>
        <v>Ramesh Verma</v>
      </c>
      <c r="C81" t="e">
        <f>VLOOKUP(A81,Teacher!D82:F111,3,2)</f>
        <v>#N/A</v>
      </c>
      <c r="D81" t="s">
        <v>85</v>
      </c>
      <c r="E81" t="s">
        <v>74</v>
      </c>
    </row>
    <row r="82" spans="1:5" x14ac:dyDescent="0.3">
      <c r="A82" t="s">
        <v>37</v>
      </c>
      <c r="B82" t="str">
        <f>+VLOOKUP(A82,Teacher!$D$3:$F$32,2,)</f>
        <v>Anjali Gupta</v>
      </c>
      <c r="C82" t="e">
        <f>VLOOKUP(A82,Teacher!D83:F112,3,2)</f>
        <v>#N/A</v>
      </c>
      <c r="D82" t="s">
        <v>86</v>
      </c>
      <c r="E82" t="s">
        <v>75</v>
      </c>
    </row>
    <row r="83" spans="1:5" x14ac:dyDescent="0.3">
      <c r="A83" t="s">
        <v>38</v>
      </c>
      <c r="B83" t="str">
        <f>+VLOOKUP(A83,Teacher!$D$3:$F$32,2,)</f>
        <v>Sneha Malhotra</v>
      </c>
      <c r="C83" t="e">
        <f>VLOOKUP(A83,Teacher!D84:F113,3,2)</f>
        <v>#N/A</v>
      </c>
      <c r="D83" t="s">
        <v>86</v>
      </c>
      <c r="E83" t="s">
        <v>71</v>
      </c>
    </row>
    <row r="84" spans="1:5" x14ac:dyDescent="0.3">
      <c r="A84" t="s">
        <v>53</v>
      </c>
      <c r="B84" t="str">
        <f>+VLOOKUP(A84,Teacher!$D$3:$F$32,2,)</f>
        <v>Kiran Rao</v>
      </c>
      <c r="C84" t="e">
        <f>VLOOKUP(A84,Teacher!D85:F114,3,2)</f>
        <v>#N/A</v>
      </c>
      <c r="D84" t="s">
        <v>86</v>
      </c>
      <c r="E84" t="s">
        <v>69</v>
      </c>
    </row>
    <row r="85" spans="1:5" x14ac:dyDescent="0.3">
      <c r="A85" t="s">
        <v>53</v>
      </c>
      <c r="B85" t="str">
        <f>+VLOOKUP(A85,Teacher!$D$3:$F$32,2,)</f>
        <v>Kiran Rao</v>
      </c>
      <c r="C85" t="e">
        <f>VLOOKUP(A85,Teacher!D86:F115,3,2)</f>
        <v>#N/A</v>
      </c>
      <c r="D85" t="s">
        <v>86</v>
      </c>
      <c r="E85" t="s">
        <v>72</v>
      </c>
    </row>
    <row r="86" spans="1:5" x14ac:dyDescent="0.3">
      <c r="A86" t="s">
        <v>51</v>
      </c>
      <c r="B86" t="str">
        <f>+VLOOKUP(A86,Teacher!$D$3:$F$32,2,)</f>
        <v>Manoj Trivedi</v>
      </c>
      <c r="C86" t="e">
        <f>VLOOKUP(A86,Teacher!D87:F116,3,2)</f>
        <v>#N/A</v>
      </c>
      <c r="D86" t="s">
        <v>86</v>
      </c>
      <c r="E86" t="s">
        <v>76</v>
      </c>
    </row>
    <row r="87" spans="1:5" x14ac:dyDescent="0.3">
      <c r="A87" t="s">
        <v>58</v>
      </c>
      <c r="B87" t="str">
        <f>+VLOOKUP(A87,Teacher!$D$3:$F$32,2,)</f>
        <v>Anita Malhotra</v>
      </c>
      <c r="C87" t="e">
        <f>VLOOKUP(A87,Teacher!D88:F117,3,2)</f>
        <v>#N/A</v>
      </c>
      <c r="D87" t="s">
        <v>86</v>
      </c>
      <c r="E87" t="s">
        <v>70</v>
      </c>
    </row>
    <row r="88" spans="1:5" x14ac:dyDescent="0.3">
      <c r="A88" t="s">
        <v>54</v>
      </c>
      <c r="B88" t="str">
        <f>+VLOOKUP(A88,Teacher!$D$3:$F$32,2,)</f>
        <v>Geeta Kumar</v>
      </c>
      <c r="C88" t="e">
        <f>VLOOKUP(A88,Teacher!D89:F118,3,2)</f>
        <v>#N/A</v>
      </c>
      <c r="D88" t="s">
        <v>86</v>
      </c>
      <c r="E88" t="s">
        <v>74</v>
      </c>
    </row>
    <row r="89" spans="1:5" x14ac:dyDescent="0.3">
      <c r="A89" t="s">
        <v>36</v>
      </c>
      <c r="B89" t="str">
        <f>+VLOOKUP(A89,Teacher!$D$3:$F$32,2,)</f>
        <v>Deepak Verma</v>
      </c>
      <c r="C89" t="e">
        <f>VLOOKUP(A89,Teacher!D90:F119,3,2)</f>
        <v>#N/A</v>
      </c>
      <c r="D89" t="s">
        <v>86</v>
      </c>
      <c r="E89" t="s">
        <v>73</v>
      </c>
    </row>
    <row r="90" spans="1:5" x14ac:dyDescent="0.3">
      <c r="A90" t="s">
        <v>44</v>
      </c>
      <c r="B90" t="str">
        <f>+VLOOKUP(A90,Teacher!$D$3:$F$32,2,)</f>
        <v>Pooja Mishra</v>
      </c>
      <c r="C90" t="e">
        <f>VLOOKUP(A90,Teacher!D91:F120,3,2)</f>
        <v>#N/A</v>
      </c>
      <c r="D90" t="s">
        <v>87</v>
      </c>
      <c r="E90" t="s">
        <v>69</v>
      </c>
    </row>
    <row r="91" spans="1:5" x14ac:dyDescent="0.3">
      <c r="A91" t="s">
        <v>53</v>
      </c>
      <c r="B91" t="str">
        <f>+VLOOKUP(A91,Teacher!$D$3:$F$32,2,)</f>
        <v>Kiran Rao</v>
      </c>
      <c r="C91" t="e">
        <f>VLOOKUP(A91,Teacher!D92:F121,3,2)</f>
        <v>#N/A</v>
      </c>
      <c r="D91" t="s">
        <v>87</v>
      </c>
      <c r="E91" t="s">
        <v>70</v>
      </c>
    </row>
    <row r="92" spans="1:5" x14ac:dyDescent="0.3">
      <c r="A92" t="s">
        <v>51</v>
      </c>
      <c r="B92" t="str">
        <f>+VLOOKUP(A92,Teacher!$D$3:$F$32,2,)</f>
        <v>Manoj Trivedi</v>
      </c>
      <c r="C92" t="e">
        <f>VLOOKUP(A92,Teacher!D93:F122,3,2)</f>
        <v>#N/A</v>
      </c>
      <c r="D92" t="s">
        <v>87</v>
      </c>
      <c r="E92" t="s">
        <v>74</v>
      </c>
    </row>
    <row r="93" spans="1:5" x14ac:dyDescent="0.3">
      <c r="A93" t="s">
        <v>63</v>
      </c>
      <c r="B93" t="str">
        <f>+VLOOKUP(A93,Teacher!$D$3:$F$32,2,)</f>
        <v>Nitin Joshi</v>
      </c>
      <c r="C93" t="e">
        <f>VLOOKUP(A93,Teacher!D94:F123,3,2)</f>
        <v>#N/A</v>
      </c>
      <c r="D93" t="s">
        <v>87</v>
      </c>
      <c r="E93" t="s">
        <v>71</v>
      </c>
    </row>
    <row r="94" spans="1:5" x14ac:dyDescent="0.3">
      <c r="A94" t="s">
        <v>60</v>
      </c>
      <c r="B94" t="str">
        <f>+VLOOKUP(A94,Teacher!$D$3:$F$32,2,)</f>
        <v>Preeti Reddy</v>
      </c>
      <c r="C94" t="e">
        <f>VLOOKUP(A94,Teacher!D95:F124,3,2)</f>
        <v>#N/A</v>
      </c>
      <c r="D94" t="s">
        <v>87</v>
      </c>
      <c r="E94" t="s">
        <v>76</v>
      </c>
    </row>
    <row r="95" spans="1:5" x14ac:dyDescent="0.3">
      <c r="A95" t="s">
        <v>40</v>
      </c>
      <c r="B95" t="str">
        <f>+VLOOKUP(A95,Teacher!$D$3:$F$32,2,)</f>
        <v>Kavita Reddy</v>
      </c>
      <c r="C95" t="e">
        <f>VLOOKUP(A95,Teacher!D96:F125,3,2)</f>
        <v>#N/A</v>
      </c>
      <c r="D95" t="s">
        <v>87</v>
      </c>
      <c r="E95" t="s">
        <v>75</v>
      </c>
    </row>
    <row r="96" spans="1:5" x14ac:dyDescent="0.3">
      <c r="A96" t="s">
        <v>37</v>
      </c>
      <c r="B96" t="str">
        <f>+VLOOKUP(A96,Teacher!$D$3:$F$32,2,)</f>
        <v>Anjali Gupta</v>
      </c>
      <c r="C96" t="e">
        <f>VLOOKUP(A96,Teacher!D97:F126,3,2)</f>
        <v>#N/A</v>
      </c>
      <c r="D96" t="s">
        <v>87</v>
      </c>
      <c r="E96" t="s">
        <v>73</v>
      </c>
    </row>
    <row r="97" spans="1:5" x14ac:dyDescent="0.3">
      <c r="A97" t="s">
        <v>42</v>
      </c>
      <c r="B97" t="str">
        <f>+VLOOKUP(A97,Teacher!$D$3:$F$32,2,)</f>
        <v>Meera Singh</v>
      </c>
      <c r="C97" t="e">
        <f>VLOOKUP(A97,Teacher!D98:F127,3,2)</f>
        <v>#N/A</v>
      </c>
      <c r="D97" t="s">
        <v>87</v>
      </c>
      <c r="E97" t="s">
        <v>72</v>
      </c>
    </row>
    <row r="98" spans="1:5" x14ac:dyDescent="0.3">
      <c r="A98" t="s">
        <v>40</v>
      </c>
      <c r="B98" t="str">
        <f>+VLOOKUP(A98,Teacher!$D$3:$F$32,2,)</f>
        <v>Kavita Reddy</v>
      </c>
      <c r="C98" t="e">
        <f>VLOOKUP(A98,Teacher!D99:F128,3,2)</f>
        <v>#N/A</v>
      </c>
      <c r="D98" t="s">
        <v>88</v>
      </c>
      <c r="E98" t="s">
        <v>71</v>
      </c>
    </row>
    <row r="99" spans="1:5" x14ac:dyDescent="0.3">
      <c r="A99" t="s">
        <v>49</v>
      </c>
      <c r="B99" t="str">
        <f>+VLOOKUP(A99,Teacher!$D$3:$F$32,2,)</f>
        <v>Vijay Kapoor</v>
      </c>
      <c r="C99" t="e">
        <f>VLOOKUP(A99,Teacher!D100:F129,3,2)</f>
        <v>#N/A</v>
      </c>
      <c r="D99" t="s">
        <v>88</v>
      </c>
      <c r="E99" t="s">
        <v>69</v>
      </c>
    </row>
    <row r="100" spans="1:5" x14ac:dyDescent="0.3">
      <c r="A100" t="s">
        <v>60</v>
      </c>
      <c r="B100" t="str">
        <f>+VLOOKUP(A100,Teacher!$D$3:$F$32,2,)</f>
        <v>Preeti Reddy</v>
      </c>
      <c r="C100" t="e">
        <f>VLOOKUP(A100,Teacher!D101:F130,3,2)</f>
        <v>#N/A</v>
      </c>
      <c r="D100" t="s">
        <v>88</v>
      </c>
      <c r="E100" t="s">
        <v>70</v>
      </c>
    </row>
    <row r="101" spans="1:5" x14ac:dyDescent="0.3">
      <c r="A101" t="s">
        <v>58</v>
      </c>
      <c r="B101" t="str">
        <f>+VLOOKUP(A101,Teacher!$D$3:$F$32,2,)</f>
        <v>Anita Malhotra</v>
      </c>
      <c r="C101" t="e">
        <f>VLOOKUP(A101,Teacher!D102:F131,3,2)</f>
        <v>#N/A</v>
      </c>
      <c r="D101" t="s">
        <v>88</v>
      </c>
      <c r="E101" t="s">
        <v>72</v>
      </c>
    </row>
    <row r="102" spans="1:5" x14ac:dyDescent="0.3">
      <c r="A102" t="s">
        <v>54</v>
      </c>
      <c r="B102" t="str">
        <f>+VLOOKUP(A102,Teacher!$D$3:$F$32,2,)</f>
        <v>Geeta Kumar</v>
      </c>
      <c r="C102" t="e">
        <f>VLOOKUP(A102,Teacher!D103:F132,3,2)</f>
        <v>#N/A</v>
      </c>
      <c r="D102" t="s">
        <v>88</v>
      </c>
      <c r="E102" t="s">
        <v>73</v>
      </c>
    </row>
    <row r="103" spans="1:5" x14ac:dyDescent="0.3">
      <c r="A103" t="s">
        <v>38</v>
      </c>
      <c r="B103" t="str">
        <f>+VLOOKUP(A103,Teacher!$D$3:$F$32,2,)</f>
        <v>Sneha Malhotra</v>
      </c>
      <c r="C103" t="e">
        <f>VLOOKUP(A103,Teacher!D104:F133,3,2)</f>
        <v>#N/A</v>
      </c>
      <c r="D103" t="s">
        <v>88</v>
      </c>
      <c r="E103" t="s">
        <v>76</v>
      </c>
    </row>
    <row r="104" spans="1:5" x14ac:dyDescent="0.3">
      <c r="A104" t="s">
        <v>50</v>
      </c>
      <c r="B104" t="str">
        <f>+VLOOKUP(A104,Teacher!$D$3:$F$32,2,)</f>
        <v>Aarti Bose</v>
      </c>
      <c r="C104" t="e">
        <f>VLOOKUP(A104,Teacher!D105:F134,3,2)</f>
        <v>#N/A</v>
      </c>
      <c r="D104" t="s">
        <v>88</v>
      </c>
      <c r="E104" t="s">
        <v>75</v>
      </c>
    </row>
    <row r="105" spans="1:5" x14ac:dyDescent="0.3">
      <c r="A105" t="s">
        <v>38</v>
      </c>
      <c r="B105" t="str">
        <f>+VLOOKUP(A105,Teacher!$D$3:$F$32,2,)</f>
        <v>Sneha Malhotra</v>
      </c>
      <c r="C105" t="e">
        <f>VLOOKUP(A105,Teacher!D106:F135,3,2)</f>
        <v>#N/A</v>
      </c>
      <c r="D105" t="s">
        <v>88</v>
      </c>
      <c r="E105" t="s">
        <v>74</v>
      </c>
    </row>
    <row r="106" spans="1:5" x14ac:dyDescent="0.3">
      <c r="A106" t="s">
        <v>59</v>
      </c>
      <c r="B106" t="str">
        <f>+VLOOKUP(A106,Teacher!$D$3:$F$32,2,)</f>
        <v>Vinay Iyer</v>
      </c>
      <c r="C106" t="e">
        <f>VLOOKUP(A106,Teacher!D107:F136,3,2)</f>
        <v>#N/A</v>
      </c>
      <c r="D106" t="s">
        <v>89</v>
      </c>
      <c r="E106" t="s">
        <v>74</v>
      </c>
    </row>
    <row r="107" spans="1:5" x14ac:dyDescent="0.3">
      <c r="A107" t="s">
        <v>43</v>
      </c>
      <c r="B107" t="str">
        <f>+VLOOKUP(A107,Teacher!$D$3:$F$32,2,)</f>
        <v>Vikram Joshi</v>
      </c>
      <c r="C107" t="e">
        <f>VLOOKUP(A107,Teacher!D108:F137,3,2)</f>
        <v>#N/A</v>
      </c>
      <c r="D107" t="s">
        <v>89</v>
      </c>
      <c r="E107" t="s">
        <v>69</v>
      </c>
    </row>
    <row r="108" spans="1:5" x14ac:dyDescent="0.3">
      <c r="A108" t="s">
        <v>35</v>
      </c>
      <c r="B108" t="str">
        <f>+VLOOKUP(A108,Teacher!$D$3:$F$32,2,)</f>
        <v>Arjun Sharma</v>
      </c>
      <c r="C108" t="e">
        <f>VLOOKUP(A108,Teacher!D109:F138,3,2)</f>
        <v>#N/A</v>
      </c>
      <c r="D108" t="s">
        <v>89</v>
      </c>
      <c r="E108" t="s">
        <v>73</v>
      </c>
    </row>
    <row r="109" spans="1:5" x14ac:dyDescent="0.3">
      <c r="A109" t="s">
        <v>48</v>
      </c>
      <c r="B109" t="str">
        <f>+VLOOKUP(A109,Teacher!$D$3:$F$32,2,)</f>
        <v>Rashmi Chopra</v>
      </c>
      <c r="C109" t="e">
        <f>VLOOKUP(A109,Teacher!D110:F139,3,2)</f>
        <v>#N/A</v>
      </c>
      <c r="D109" t="s">
        <v>89</v>
      </c>
      <c r="E109" t="s">
        <v>70</v>
      </c>
    </row>
    <row r="110" spans="1:5" x14ac:dyDescent="0.3">
      <c r="A110" t="s">
        <v>44</v>
      </c>
      <c r="B110" t="str">
        <f>+VLOOKUP(A110,Teacher!$D$3:$F$32,2,)</f>
        <v>Pooja Mishra</v>
      </c>
      <c r="C110" t="e">
        <f>VLOOKUP(A110,Teacher!D111:F140,3,2)</f>
        <v>#N/A</v>
      </c>
      <c r="D110" t="s">
        <v>89</v>
      </c>
      <c r="E110" t="s">
        <v>72</v>
      </c>
    </row>
    <row r="111" spans="1:5" x14ac:dyDescent="0.3">
      <c r="A111" t="s">
        <v>43</v>
      </c>
      <c r="B111" t="str">
        <f>+VLOOKUP(A111,Teacher!$D$3:$F$32,2,)</f>
        <v>Vikram Joshi</v>
      </c>
      <c r="C111" t="e">
        <f>VLOOKUP(A111,Teacher!D112:F141,3,2)</f>
        <v>#N/A</v>
      </c>
      <c r="D111" t="s">
        <v>89</v>
      </c>
      <c r="E111" t="s">
        <v>75</v>
      </c>
    </row>
    <row r="112" spans="1:5" x14ac:dyDescent="0.3">
      <c r="A112" t="s">
        <v>37</v>
      </c>
      <c r="B112" t="str">
        <f>+VLOOKUP(A112,Teacher!$D$3:$F$32,2,)</f>
        <v>Anjali Gupta</v>
      </c>
      <c r="C112" t="e">
        <f>VLOOKUP(A112,Teacher!D113:F142,3,2)</f>
        <v>#N/A</v>
      </c>
      <c r="D112" t="s">
        <v>89</v>
      </c>
      <c r="E112" t="s">
        <v>71</v>
      </c>
    </row>
    <row r="113" spans="1:5" x14ac:dyDescent="0.3">
      <c r="A113" t="s">
        <v>46</v>
      </c>
      <c r="B113" t="str">
        <f>+VLOOKUP(A113,Teacher!$D$3:$F$32,2,)</f>
        <v>Sunita Nair</v>
      </c>
      <c r="C113" t="e">
        <f>VLOOKUP(A113,Teacher!D114:F143,3,2)</f>
        <v>#N/A</v>
      </c>
      <c r="D113" t="s">
        <v>89</v>
      </c>
      <c r="E113" t="s">
        <v>76</v>
      </c>
    </row>
    <row r="114" spans="1:5" x14ac:dyDescent="0.3">
      <c r="A114" t="s">
        <v>52</v>
      </c>
      <c r="B114" t="str">
        <f>+VLOOKUP(A114,Teacher!$D$3:$F$32,2,)</f>
        <v>Shweta Pandey</v>
      </c>
      <c r="C114" t="e">
        <f>VLOOKUP(A114,Teacher!D115:F144,3,2)</f>
        <v>#N/A</v>
      </c>
      <c r="D114" t="s">
        <v>90</v>
      </c>
      <c r="E114" t="s">
        <v>70</v>
      </c>
    </row>
    <row r="115" spans="1:5" x14ac:dyDescent="0.3">
      <c r="A115" t="s">
        <v>43</v>
      </c>
      <c r="B115" t="str">
        <f>+VLOOKUP(A115,Teacher!$D$3:$F$32,2,)</f>
        <v>Vikram Joshi</v>
      </c>
      <c r="C115" t="e">
        <f>VLOOKUP(A115,Teacher!D116:F145,3,2)</f>
        <v>#N/A</v>
      </c>
      <c r="D115" t="s">
        <v>90</v>
      </c>
      <c r="E115" t="s">
        <v>73</v>
      </c>
    </row>
    <row r="116" spans="1:5" x14ac:dyDescent="0.3">
      <c r="A116" t="s">
        <v>36</v>
      </c>
      <c r="B116" t="str">
        <f>+VLOOKUP(A116,Teacher!$D$3:$F$32,2,)</f>
        <v>Deepak Verma</v>
      </c>
      <c r="C116" t="e">
        <f>VLOOKUP(A116,Teacher!D117:F146,3,2)</f>
        <v>#N/A</v>
      </c>
      <c r="D116" t="s">
        <v>90</v>
      </c>
      <c r="E116" t="s">
        <v>72</v>
      </c>
    </row>
    <row r="117" spans="1:5" x14ac:dyDescent="0.3">
      <c r="A117" t="s">
        <v>62</v>
      </c>
      <c r="B117" t="str">
        <f>+VLOOKUP(A117,Teacher!$D$3:$F$32,2,)</f>
        <v>Priyanka Singh</v>
      </c>
      <c r="C117" t="e">
        <f>VLOOKUP(A117,Teacher!D118:F147,3,2)</f>
        <v>#N/A</v>
      </c>
      <c r="D117" t="s">
        <v>90</v>
      </c>
      <c r="E117" t="s">
        <v>74</v>
      </c>
    </row>
    <row r="118" spans="1:5" x14ac:dyDescent="0.3">
      <c r="A118" t="s">
        <v>42</v>
      </c>
      <c r="B118" t="str">
        <f>+VLOOKUP(A118,Teacher!$D$3:$F$32,2,)</f>
        <v>Meera Singh</v>
      </c>
      <c r="C118" t="e">
        <f>VLOOKUP(A118,Teacher!D119:F148,3,2)</f>
        <v>#N/A</v>
      </c>
      <c r="D118" t="s">
        <v>90</v>
      </c>
      <c r="E118" t="s">
        <v>71</v>
      </c>
    </row>
    <row r="119" spans="1:5" x14ac:dyDescent="0.3">
      <c r="A119" t="s">
        <v>49</v>
      </c>
      <c r="B119" t="str">
        <f>+VLOOKUP(A119,Teacher!$D$3:$F$32,2,)</f>
        <v>Vijay Kapoor</v>
      </c>
      <c r="C119" t="e">
        <f>VLOOKUP(A119,Teacher!D120:F149,3,2)</f>
        <v>#N/A</v>
      </c>
      <c r="D119" t="s">
        <v>90</v>
      </c>
      <c r="E119" t="s">
        <v>76</v>
      </c>
    </row>
    <row r="120" spans="1:5" x14ac:dyDescent="0.3">
      <c r="A120" t="s">
        <v>50</v>
      </c>
      <c r="B120" t="str">
        <f>+VLOOKUP(A120,Teacher!$D$3:$F$32,2,)</f>
        <v>Aarti Bose</v>
      </c>
      <c r="C120" t="e">
        <f>VLOOKUP(A120,Teacher!D121:F150,3,2)</f>
        <v>#N/A</v>
      </c>
      <c r="D120" t="s">
        <v>90</v>
      </c>
      <c r="E120" t="s">
        <v>69</v>
      </c>
    </row>
    <row r="121" spans="1:5" x14ac:dyDescent="0.3">
      <c r="A121" t="s">
        <v>63</v>
      </c>
      <c r="B121" t="str">
        <f>+VLOOKUP(A121,Teacher!$D$3:$F$32,2,)</f>
        <v>Nitin Joshi</v>
      </c>
      <c r="C121" t="e">
        <f>VLOOKUP(A121,Teacher!D122:F151,3,2)</f>
        <v>#N/A</v>
      </c>
      <c r="D121" t="s">
        <v>90</v>
      </c>
      <c r="E121" t="s">
        <v>75</v>
      </c>
    </row>
    <row r="122" spans="1:5" x14ac:dyDescent="0.3">
      <c r="A122" t="s">
        <v>55</v>
      </c>
      <c r="B122" t="str">
        <f>+VLOOKUP(A122,Teacher!$D$3:$F$32,2,)</f>
        <v>Suresh Sharma</v>
      </c>
      <c r="C122" t="e">
        <f>VLOOKUP(A122,Teacher!D123:F152,3,2)</f>
        <v>#N/A</v>
      </c>
      <c r="D122" t="s">
        <v>91</v>
      </c>
      <c r="E122" t="s">
        <v>76</v>
      </c>
    </row>
    <row r="123" spans="1:5" x14ac:dyDescent="0.3">
      <c r="A123" t="s">
        <v>51</v>
      </c>
      <c r="B123" t="str">
        <f>+VLOOKUP(A123,Teacher!$D$3:$F$32,2,)</f>
        <v>Manoj Trivedi</v>
      </c>
      <c r="C123" t="e">
        <f>VLOOKUP(A123,Teacher!D124:F153,3,2)</f>
        <v>#N/A</v>
      </c>
      <c r="D123" t="s">
        <v>91</v>
      </c>
      <c r="E123" t="s">
        <v>71</v>
      </c>
    </row>
    <row r="124" spans="1:5" x14ac:dyDescent="0.3">
      <c r="A124" t="s">
        <v>57</v>
      </c>
      <c r="B124" t="str">
        <f>+VLOOKUP(A124,Teacher!$D$3:$F$32,2,)</f>
        <v>Lata Gupta</v>
      </c>
      <c r="C124" t="e">
        <f>VLOOKUP(A124,Teacher!D125:F154,3,2)</f>
        <v>#N/A</v>
      </c>
      <c r="D124" t="s">
        <v>91</v>
      </c>
      <c r="E124" t="s">
        <v>72</v>
      </c>
    </row>
    <row r="125" spans="1:5" x14ac:dyDescent="0.3">
      <c r="A125" t="s">
        <v>43</v>
      </c>
      <c r="B125" t="str">
        <f>+VLOOKUP(A125,Teacher!$D$3:$F$32,2,)</f>
        <v>Vikram Joshi</v>
      </c>
      <c r="C125" t="e">
        <f>VLOOKUP(A125,Teacher!D126:F155,3,2)</f>
        <v>#N/A</v>
      </c>
      <c r="D125" t="s">
        <v>91</v>
      </c>
      <c r="E125" t="s">
        <v>75</v>
      </c>
    </row>
    <row r="126" spans="1:5" x14ac:dyDescent="0.3">
      <c r="A126" t="s">
        <v>46</v>
      </c>
      <c r="B126" t="str">
        <f>+VLOOKUP(A126,Teacher!$D$3:$F$32,2,)</f>
        <v>Sunita Nair</v>
      </c>
      <c r="C126" t="e">
        <f>VLOOKUP(A126,Teacher!D127:F156,3,2)</f>
        <v>#N/A</v>
      </c>
      <c r="D126" t="s">
        <v>91</v>
      </c>
      <c r="E126" t="s">
        <v>73</v>
      </c>
    </row>
    <row r="127" spans="1:5" x14ac:dyDescent="0.3">
      <c r="A127" t="s">
        <v>61</v>
      </c>
      <c r="B127" t="str">
        <f>+VLOOKUP(A127,Teacher!$D$3:$F$32,2,)</f>
        <v>Alok Patel</v>
      </c>
      <c r="C127" t="e">
        <f>VLOOKUP(A127,Teacher!D128:F157,3,2)</f>
        <v>#N/A</v>
      </c>
      <c r="D127" t="s">
        <v>91</v>
      </c>
      <c r="E127" t="s">
        <v>70</v>
      </c>
    </row>
    <row r="128" spans="1:5" x14ac:dyDescent="0.3">
      <c r="A128" t="s">
        <v>51</v>
      </c>
      <c r="B128" t="str">
        <f>+VLOOKUP(A128,Teacher!$D$3:$F$32,2,)</f>
        <v>Manoj Trivedi</v>
      </c>
      <c r="C128" t="e">
        <f>VLOOKUP(A128,Teacher!D129:F158,3,2)</f>
        <v>#N/A</v>
      </c>
      <c r="D128" t="s">
        <v>91</v>
      </c>
      <c r="E128" t="s">
        <v>74</v>
      </c>
    </row>
    <row r="129" spans="1:5" x14ac:dyDescent="0.3">
      <c r="A129" t="s">
        <v>36</v>
      </c>
      <c r="B129" t="str">
        <f>+VLOOKUP(A129,Teacher!$D$3:$F$32,2,)</f>
        <v>Deepak Verma</v>
      </c>
      <c r="C129" t="e">
        <f>VLOOKUP(A129,Teacher!D130:F159,3,2)</f>
        <v>#N/A</v>
      </c>
      <c r="D129" t="s">
        <v>91</v>
      </c>
      <c r="E129" t="s">
        <v>69</v>
      </c>
    </row>
    <row r="130" spans="1:5" x14ac:dyDescent="0.3">
      <c r="A130" t="s">
        <v>64</v>
      </c>
      <c r="B130" t="str">
        <f>+VLOOKUP(A130,Teacher!$D$3:$F$32,2,)</f>
        <v>Sakshi Mishra</v>
      </c>
      <c r="C130" t="e">
        <f>VLOOKUP(A130,Teacher!D131:F160,3,2)</f>
        <v>#N/A</v>
      </c>
      <c r="D130" t="s">
        <v>92</v>
      </c>
      <c r="E130" t="s">
        <v>70</v>
      </c>
    </row>
    <row r="131" spans="1:5" x14ac:dyDescent="0.3">
      <c r="A131" t="s">
        <v>61</v>
      </c>
      <c r="B131" t="str">
        <f>+VLOOKUP(A131,Teacher!$D$3:$F$32,2,)</f>
        <v>Alok Patel</v>
      </c>
      <c r="C131" t="e">
        <f>VLOOKUP(A131,Teacher!D132:F161,3,2)</f>
        <v>#N/A</v>
      </c>
      <c r="D131" t="s">
        <v>92</v>
      </c>
      <c r="E131" t="s">
        <v>72</v>
      </c>
    </row>
    <row r="132" spans="1:5" x14ac:dyDescent="0.3">
      <c r="A132" t="s">
        <v>52</v>
      </c>
      <c r="B132" t="str">
        <f>+VLOOKUP(A132,Teacher!$D$3:$F$32,2,)</f>
        <v>Shweta Pandey</v>
      </c>
      <c r="C132" t="e">
        <f>VLOOKUP(A132,Teacher!D133:F162,3,2)</f>
        <v>#N/A</v>
      </c>
      <c r="D132" t="s">
        <v>92</v>
      </c>
      <c r="E132" t="s">
        <v>71</v>
      </c>
    </row>
    <row r="133" spans="1:5" x14ac:dyDescent="0.3">
      <c r="A133" t="s">
        <v>52</v>
      </c>
      <c r="B133" t="str">
        <f>+VLOOKUP(A133,Teacher!$D$3:$F$32,2,)</f>
        <v>Shweta Pandey</v>
      </c>
      <c r="C133" t="e">
        <f>VLOOKUP(A133,Teacher!D134:F163,3,2)</f>
        <v>#N/A</v>
      </c>
      <c r="D133" t="s">
        <v>92</v>
      </c>
      <c r="E133" t="s">
        <v>73</v>
      </c>
    </row>
    <row r="134" spans="1:5" x14ac:dyDescent="0.3">
      <c r="A134" t="s">
        <v>59</v>
      </c>
      <c r="B134" t="str">
        <f>+VLOOKUP(A134,Teacher!$D$3:$F$32,2,)</f>
        <v>Vinay Iyer</v>
      </c>
      <c r="C134" t="e">
        <f>VLOOKUP(A134,Teacher!D135:F164,3,2)</f>
        <v>#N/A</v>
      </c>
      <c r="D134" t="s">
        <v>92</v>
      </c>
      <c r="E134" t="s">
        <v>75</v>
      </c>
    </row>
    <row r="135" spans="1:5" x14ac:dyDescent="0.3">
      <c r="A135" t="s">
        <v>35</v>
      </c>
      <c r="B135" t="str">
        <f>+VLOOKUP(A135,Teacher!$D$3:$F$32,2,)</f>
        <v>Arjun Sharma</v>
      </c>
      <c r="C135" t="e">
        <f>VLOOKUP(A135,Teacher!D136:F165,3,2)</f>
        <v>#N/A</v>
      </c>
      <c r="D135" t="s">
        <v>92</v>
      </c>
      <c r="E135" t="s">
        <v>76</v>
      </c>
    </row>
    <row r="136" spans="1:5" x14ac:dyDescent="0.3">
      <c r="A136" t="s">
        <v>60</v>
      </c>
      <c r="B136" t="str">
        <f>+VLOOKUP(A136,Teacher!$D$3:$F$32,2,)</f>
        <v>Preeti Reddy</v>
      </c>
      <c r="C136" t="e">
        <f>VLOOKUP(A136,Teacher!D137:F166,3,2)</f>
        <v>#N/A</v>
      </c>
      <c r="D136" t="s">
        <v>92</v>
      </c>
      <c r="E136" t="s">
        <v>74</v>
      </c>
    </row>
    <row r="137" spans="1:5" x14ac:dyDescent="0.3">
      <c r="A137" t="s">
        <v>52</v>
      </c>
      <c r="B137" t="str">
        <f>+VLOOKUP(A137,Teacher!$D$3:$F$32,2,)</f>
        <v>Shweta Pandey</v>
      </c>
      <c r="C137" t="e">
        <f>VLOOKUP(A137,Teacher!D138:F167,3,2)</f>
        <v>#N/A</v>
      </c>
      <c r="D137" t="s">
        <v>92</v>
      </c>
      <c r="E137" t="s">
        <v>69</v>
      </c>
    </row>
    <row r="138" spans="1:5" x14ac:dyDescent="0.3">
      <c r="A138" t="s">
        <v>47</v>
      </c>
      <c r="B138" t="str">
        <f>+VLOOKUP(A138,Teacher!$D$3:$F$32,2,)</f>
        <v>Amit Saxena</v>
      </c>
      <c r="C138" t="e">
        <f>VLOOKUP(A138,Teacher!D139:F168,3,2)</f>
        <v>#N/A</v>
      </c>
      <c r="D138" t="s">
        <v>93</v>
      </c>
      <c r="E138" t="s">
        <v>75</v>
      </c>
    </row>
    <row r="139" spans="1:5" x14ac:dyDescent="0.3">
      <c r="A139" t="s">
        <v>60</v>
      </c>
      <c r="B139" t="str">
        <f>+VLOOKUP(A139,Teacher!$D$3:$F$32,2,)</f>
        <v>Preeti Reddy</v>
      </c>
      <c r="C139" t="e">
        <f>VLOOKUP(A139,Teacher!D140:F169,3,2)</f>
        <v>#N/A</v>
      </c>
      <c r="D139" t="s">
        <v>93</v>
      </c>
      <c r="E139" t="s">
        <v>74</v>
      </c>
    </row>
    <row r="140" spans="1:5" x14ac:dyDescent="0.3">
      <c r="A140" t="s">
        <v>54</v>
      </c>
      <c r="B140" t="str">
        <f>+VLOOKUP(A140,Teacher!$D$3:$F$32,2,)</f>
        <v>Geeta Kumar</v>
      </c>
      <c r="C140" t="e">
        <f>VLOOKUP(A140,Teacher!D141:F170,3,2)</f>
        <v>#N/A</v>
      </c>
      <c r="D140" t="s">
        <v>93</v>
      </c>
      <c r="E140" t="s">
        <v>73</v>
      </c>
    </row>
    <row r="141" spans="1:5" x14ac:dyDescent="0.3">
      <c r="A141" t="s">
        <v>52</v>
      </c>
      <c r="B141" t="str">
        <f>+VLOOKUP(A141,Teacher!$D$3:$F$32,2,)</f>
        <v>Shweta Pandey</v>
      </c>
      <c r="C141" t="e">
        <f>VLOOKUP(A141,Teacher!D142:F171,3,2)</f>
        <v>#N/A</v>
      </c>
      <c r="D141" t="s">
        <v>93</v>
      </c>
      <c r="E141" t="s">
        <v>71</v>
      </c>
    </row>
    <row r="142" spans="1:5" x14ac:dyDescent="0.3">
      <c r="A142" t="s">
        <v>52</v>
      </c>
      <c r="B142" t="str">
        <f>+VLOOKUP(A142,Teacher!$D$3:$F$32,2,)</f>
        <v>Shweta Pandey</v>
      </c>
      <c r="C142" t="e">
        <f>VLOOKUP(A142,Teacher!D143:F172,3,2)</f>
        <v>#N/A</v>
      </c>
      <c r="D142" t="s">
        <v>93</v>
      </c>
      <c r="E142" t="s">
        <v>70</v>
      </c>
    </row>
    <row r="143" spans="1:5" x14ac:dyDescent="0.3">
      <c r="A143" t="s">
        <v>61</v>
      </c>
      <c r="B143" t="str">
        <f>+VLOOKUP(A143,Teacher!$D$3:$F$32,2,)</f>
        <v>Alok Patel</v>
      </c>
      <c r="C143" t="e">
        <f>VLOOKUP(A143,Teacher!D144:F173,3,2)</f>
        <v>#N/A</v>
      </c>
      <c r="D143" t="s">
        <v>93</v>
      </c>
      <c r="E143" t="s">
        <v>76</v>
      </c>
    </row>
    <row r="144" spans="1:5" x14ac:dyDescent="0.3">
      <c r="A144" t="s">
        <v>36</v>
      </c>
      <c r="B144" t="str">
        <f>+VLOOKUP(A144,Teacher!$D$3:$F$32,2,)</f>
        <v>Deepak Verma</v>
      </c>
      <c r="C144" t="e">
        <f>VLOOKUP(A144,Teacher!D145:F174,3,2)</f>
        <v>#N/A</v>
      </c>
      <c r="D144" t="s">
        <v>93</v>
      </c>
      <c r="E144" t="s">
        <v>69</v>
      </c>
    </row>
    <row r="145" spans="1:5" x14ac:dyDescent="0.3">
      <c r="A145" t="s">
        <v>39</v>
      </c>
      <c r="B145" t="str">
        <f>+VLOOKUP(A145,Teacher!$D$3:$F$32,2,)</f>
        <v>Rahul Iyer</v>
      </c>
      <c r="C145" t="e">
        <f>VLOOKUP(A145,Teacher!D146:F175,3,2)</f>
        <v>#N/A</v>
      </c>
      <c r="D145" t="s">
        <v>93</v>
      </c>
      <c r="E145" t="s">
        <v>72</v>
      </c>
    </row>
    <row r="146" spans="1:5" x14ac:dyDescent="0.3">
      <c r="A146" t="s">
        <v>64</v>
      </c>
      <c r="B146" t="str">
        <f>+VLOOKUP(A146,Teacher!$D$3:$F$32,2,)</f>
        <v>Sakshi Mishra</v>
      </c>
      <c r="C146" t="e">
        <f>VLOOKUP(A146,Teacher!D147:F176,3,2)</f>
        <v>#N/A</v>
      </c>
      <c r="D146" t="s">
        <v>94</v>
      </c>
      <c r="E146" t="s">
        <v>69</v>
      </c>
    </row>
    <row r="147" spans="1:5" x14ac:dyDescent="0.3">
      <c r="A147" t="s">
        <v>47</v>
      </c>
      <c r="B147" t="str">
        <f>+VLOOKUP(A147,Teacher!$D$3:$F$32,2,)</f>
        <v>Amit Saxena</v>
      </c>
      <c r="C147" t="e">
        <f>VLOOKUP(A147,Teacher!D148:F177,3,2)</f>
        <v>#N/A</v>
      </c>
      <c r="D147" t="s">
        <v>94</v>
      </c>
      <c r="E147" t="s">
        <v>70</v>
      </c>
    </row>
    <row r="148" spans="1:5" x14ac:dyDescent="0.3">
      <c r="A148" t="s">
        <v>51</v>
      </c>
      <c r="B148" t="str">
        <f>+VLOOKUP(A148,Teacher!$D$3:$F$32,2,)</f>
        <v>Manoj Trivedi</v>
      </c>
      <c r="C148" t="e">
        <f>VLOOKUP(A148,Teacher!D149:F178,3,2)</f>
        <v>#N/A</v>
      </c>
      <c r="D148" t="s">
        <v>94</v>
      </c>
      <c r="E148" t="s">
        <v>71</v>
      </c>
    </row>
    <row r="149" spans="1:5" x14ac:dyDescent="0.3">
      <c r="A149" t="s">
        <v>55</v>
      </c>
      <c r="B149" t="str">
        <f>+VLOOKUP(A149,Teacher!$D$3:$F$32,2,)</f>
        <v>Suresh Sharma</v>
      </c>
      <c r="C149" t="e">
        <f>VLOOKUP(A149,Teacher!D150:F179,3,2)</f>
        <v>#N/A</v>
      </c>
      <c r="D149" t="s">
        <v>94</v>
      </c>
      <c r="E149" t="s">
        <v>72</v>
      </c>
    </row>
    <row r="150" spans="1:5" x14ac:dyDescent="0.3">
      <c r="A150" t="s">
        <v>64</v>
      </c>
      <c r="B150" t="str">
        <f>+VLOOKUP(A150,Teacher!$D$3:$F$32,2,)</f>
        <v>Sakshi Mishra</v>
      </c>
      <c r="C150" t="e">
        <f>VLOOKUP(A150,Teacher!D151:F180,3,2)</f>
        <v>#N/A</v>
      </c>
      <c r="D150" t="s">
        <v>94</v>
      </c>
      <c r="E150" t="s">
        <v>73</v>
      </c>
    </row>
    <row r="151" spans="1:5" x14ac:dyDescent="0.3">
      <c r="A151" t="s">
        <v>41</v>
      </c>
      <c r="B151" t="str">
        <f>+VLOOKUP(A151,Teacher!$D$3:$F$32,2,)</f>
        <v>Sanjay Patel</v>
      </c>
      <c r="C151" t="e">
        <f>VLOOKUP(A151,Teacher!D152:F181,3,2)</f>
        <v>#N/A</v>
      </c>
      <c r="D151" t="s">
        <v>94</v>
      </c>
      <c r="E151" t="s">
        <v>74</v>
      </c>
    </row>
    <row r="152" spans="1:5" x14ac:dyDescent="0.3">
      <c r="A152" t="s">
        <v>56</v>
      </c>
      <c r="B152" t="str">
        <f>+VLOOKUP(A152,Teacher!$D$3:$F$32,2,)</f>
        <v>Ramesh Verma</v>
      </c>
      <c r="C152" t="e">
        <f>VLOOKUP(A152,Teacher!D153:F182,3,2)</f>
        <v>#N/A</v>
      </c>
      <c r="D152" t="s">
        <v>94</v>
      </c>
      <c r="E152" t="s">
        <v>75</v>
      </c>
    </row>
    <row r="153" spans="1:5" x14ac:dyDescent="0.3">
      <c r="A153" t="s">
        <v>56</v>
      </c>
      <c r="B153" t="str">
        <f>+VLOOKUP(A153,Teacher!$D$3:$F$32,2,)</f>
        <v>Ramesh Verma</v>
      </c>
      <c r="C153" t="e">
        <f>VLOOKUP(A153,Teacher!D154:F183,3,2)</f>
        <v>#N/A</v>
      </c>
      <c r="D153" t="s">
        <v>94</v>
      </c>
      <c r="E153" t="s">
        <v>76</v>
      </c>
    </row>
    <row r="154" spans="1:5" x14ac:dyDescent="0.3">
      <c r="A154" t="s">
        <v>55</v>
      </c>
      <c r="B154" t="str">
        <f>+VLOOKUP(A154,Teacher!$D$3:$F$32,2,)</f>
        <v>Suresh Sharma</v>
      </c>
      <c r="C154" t="e">
        <f>VLOOKUP(A154,Teacher!D155:F184,3,2)</f>
        <v>#N/A</v>
      </c>
      <c r="D154" t="s">
        <v>95</v>
      </c>
      <c r="E154" t="s">
        <v>70</v>
      </c>
    </row>
    <row r="155" spans="1:5" x14ac:dyDescent="0.3">
      <c r="A155" t="s">
        <v>62</v>
      </c>
      <c r="B155" t="str">
        <f>+VLOOKUP(A155,Teacher!$D$3:$F$32,2,)</f>
        <v>Priyanka Singh</v>
      </c>
      <c r="C155" t="e">
        <f>VLOOKUP(A155,Teacher!D156:F185,3,2)</f>
        <v>#N/A</v>
      </c>
      <c r="D155" t="s">
        <v>95</v>
      </c>
      <c r="E155" t="s">
        <v>73</v>
      </c>
    </row>
    <row r="156" spans="1:5" x14ac:dyDescent="0.3">
      <c r="A156" t="s">
        <v>45</v>
      </c>
      <c r="B156" t="str">
        <f>+VLOOKUP(A156,Teacher!$D$3:$F$32,2,)</f>
        <v>Rohan Deshmukh</v>
      </c>
      <c r="C156" t="e">
        <f>VLOOKUP(A156,Teacher!D157:F186,3,2)</f>
        <v>#N/A</v>
      </c>
      <c r="D156" t="s">
        <v>95</v>
      </c>
      <c r="E156" t="s">
        <v>69</v>
      </c>
    </row>
    <row r="157" spans="1:5" x14ac:dyDescent="0.3">
      <c r="A157" t="s">
        <v>62</v>
      </c>
      <c r="B157" t="str">
        <f>+VLOOKUP(A157,Teacher!$D$3:$F$32,2,)</f>
        <v>Priyanka Singh</v>
      </c>
      <c r="C157" t="e">
        <f>VLOOKUP(A157,Teacher!D158:F187,3,2)</f>
        <v>#N/A</v>
      </c>
      <c r="D157" t="s">
        <v>95</v>
      </c>
      <c r="E157" t="s">
        <v>74</v>
      </c>
    </row>
    <row r="158" spans="1:5" x14ac:dyDescent="0.3">
      <c r="A158" t="s">
        <v>57</v>
      </c>
      <c r="B158" t="str">
        <f>+VLOOKUP(A158,Teacher!$D$3:$F$32,2,)</f>
        <v>Lata Gupta</v>
      </c>
      <c r="C158" t="e">
        <f>VLOOKUP(A158,Teacher!D159:F188,3,2)</f>
        <v>#N/A</v>
      </c>
      <c r="D158" t="s">
        <v>95</v>
      </c>
      <c r="E158" t="s">
        <v>75</v>
      </c>
    </row>
    <row r="159" spans="1:5" x14ac:dyDescent="0.3">
      <c r="A159" t="s">
        <v>56</v>
      </c>
      <c r="B159" t="str">
        <f>+VLOOKUP(A159,Teacher!$D$3:$F$32,2,)</f>
        <v>Ramesh Verma</v>
      </c>
      <c r="C159" t="e">
        <f>VLOOKUP(A159,Teacher!D160:F189,3,2)</f>
        <v>#N/A</v>
      </c>
      <c r="D159" t="s">
        <v>95</v>
      </c>
      <c r="E159" t="s">
        <v>71</v>
      </c>
    </row>
    <row r="160" spans="1:5" x14ac:dyDescent="0.3">
      <c r="A160" t="s">
        <v>49</v>
      </c>
      <c r="B160" t="str">
        <f>+VLOOKUP(A160,Teacher!$D$3:$F$32,2,)</f>
        <v>Vijay Kapoor</v>
      </c>
      <c r="C160" t="e">
        <f>VLOOKUP(A160,Teacher!D161:F190,3,2)</f>
        <v>#N/A</v>
      </c>
      <c r="D160" t="s">
        <v>95</v>
      </c>
      <c r="E160" t="s">
        <v>72</v>
      </c>
    </row>
    <row r="161" spans="1:5" x14ac:dyDescent="0.3">
      <c r="A161" t="s">
        <v>57</v>
      </c>
      <c r="B161" t="str">
        <f>+VLOOKUP(A161,Teacher!$D$3:$F$32,2,)</f>
        <v>Lata Gupta</v>
      </c>
      <c r="C161" t="e">
        <f>VLOOKUP(A161,Teacher!D162:F191,3,2)</f>
        <v>#N/A</v>
      </c>
      <c r="D161" t="s">
        <v>95</v>
      </c>
      <c r="E161" t="s">
        <v>76</v>
      </c>
    </row>
    <row r="162" spans="1:5" x14ac:dyDescent="0.3">
      <c r="A162" t="s">
        <v>39</v>
      </c>
      <c r="B162" t="str">
        <f>+VLOOKUP(A162,Teacher!$D$3:$F$32,2,)</f>
        <v>Rahul Iyer</v>
      </c>
      <c r="C162" t="e">
        <f>VLOOKUP(A162,Teacher!D163:F192,3,2)</f>
        <v>#N/A</v>
      </c>
      <c r="D162" t="s">
        <v>96</v>
      </c>
      <c r="E162" t="s">
        <v>69</v>
      </c>
    </row>
    <row r="163" spans="1:5" x14ac:dyDescent="0.3">
      <c r="A163" t="s">
        <v>52</v>
      </c>
      <c r="B163" t="str">
        <f>+VLOOKUP(A163,Teacher!$D$3:$F$32,2,)</f>
        <v>Shweta Pandey</v>
      </c>
      <c r="C163" t="e">
        <f>VLOOKUP(A163,Teacher!D164:F193,3,2)</f>
        <v>#N/A</v>
      </c>
      <c r="D163" t="s">
        <v>96</v>
      </c>
      <c r="E163" t="s">
        <v>75</v>
      </c>
    </row>
    <row r="164" spans="1:5" x14ac:dyDescent="0.3">
      <c r="A164" t="s">
        <v>37</v>
      </c>
      <c r="B164" t="str">
        <f>+VLOOKUP(A164,Teacher!$D$3:$F$32,2,)</f>
        <v>Anjali Gupta</v>
      </c>
      <c r="C164" t="e">
        <f>VLOOKUP(A164,Teacher!D165:F194,3,2)</f>
        <v>#N/A</v>
      </c>
      <c r="D164" t="s">
        <v>96</v>
      </c>
      <c r="E164" t="s">
        <v>70</v>
      </c>
    </row>
    <row r="165" spans="1:5" x14ac:dyDescent="0.3">
      <c r="A165" t="s">
        <v>48</v>
      </c>
      <c r="B165" t="str">
        <f>+VLOOKUP(A165,Teacher!$D$3:$F$32,2,)</f>
        <v>Rashmi Chopra</v>
      </c>
      <c r="C165" t="e">
        <f>VLOOKUP(A165,Teacher!D166:F195,3,2)</f>
        <v>#N/A</v>
      </c>
      <c r="D165" t="s">
        <v>96</v>
      </c>
      <c r="E165" t="s">
        <v>72</v>
      </c>
    </row>
    <row r="166" spans="1:5" x14ac:dyDescent="0.3">
      <c r="A166" t="s">
        <v>50</v>
      </c>
      <c r="B166" t="str">
        <f>+VLOOKUP(A166,Teacher!$D$3:$F$32,2,)</f>
        <v>Aarti Bose</v>
      </c>
      <c r="C166" t="e">
        <f>VLOOKUP(A166,Teacher!D167:F196,3,2)</f>
        <v>#N/A</v>
      </c>
      <c r="D166" t="s">
        <v>96</v>
      </c>
      <c r="E166" t="s">
        <v>71</v>
      </c>
    </row>
    <row r="167" spans="1:5" x14ac:dyDescent="0.3">
      <c r="A167" t="s">
        <v>37</v>
      </c>
      <c r="B167" t="str">
        <f>+VLOOKUP(A167,Teacher!$D$3:$F$32,2,)</f>
        <v>Anjali Gupta</v>
      </c>
      <c r="C167" t="e">
        <f>VLOOKUP(A167,Teacher!D168:F197,3,2)</f>
        <v>#N/A</v>
      </c>
      <c r="D167" t="s">
        <v>96</v>
      </c>
      <c r="E167" t="s">
        <v>73</v>
      </c>
    </row>
    <row r="168" spans="1:5" x14ac:dyDescent="0.3">
      <c r="A168" t="s">
        <v>40</v>
      </c>
      <c r="B168" t="str">
        <f>+VLOOKUP(A168,Teacher!$D$3:$F$32,2,)</f>
        <v>Kavita Reddy</v>
      </c>
      <c r="C168" t="e">
        <f>VLOOKUP(A168,Teacher!D169:F198,3,2)</f>
        <v>#N/A</v>
      </c>
      <c r="D168" t="s">
        <v>96</v>
      </c>
      <c r="E168" t="s">
        <v>76</v>
      </c>
    </row>
    <row r="169" spans="1:5" x14ac:dyDescent="0.3">
      <c r="A169" t="s">
        <v>39</v>
      </c>
      <c r="B169" t="str">
        <f>+VLOOKUP(A169,Teacher!$D$3:$F$32,2,)</f>
        <v>Rahul Iyer</v>
      </c>
      <c r="C169" t="e">
        <f>VLOOKUP(A169,Teacher!D170:F199,3,2)</f>
        <v>#N/A</v>
      </c>
      <c r="D169" t="s">
        <v>96</v>
      </c>
      <c r="E169" t="s">
        <v>74</v>
      </c>
    </row>
    <row r="170" spans="1:5" x14ac:dyDescent="0.3">
      <c r="A170" t="s">
        <v>42</v>
      </c>
      <c r="B170" t="str">
        <f>+VLOOKUP(A170,Teacher!$D$3:$F$32,2,)</f>
        <v>Meera Singh</v>
      </c>
      <c r="C170" t="e">
        <f>VLOOKUP(A170,Teacher!D171:F200,3,2)</f>
        <v>#N/A</v>
      </c>
      <c r="D170" t="s">
        <v>97</v>
      </c>
      <c r="E170" t="s">
        <v>73</v>
      </c>
    </row>
    <row r="171" spans="1:5" x14ac:dyDescent="0.3">
      <c r="A171" t="s">
        <v>39</v>
      </c>
      <c r="B171" t="str">
        <f>+VLOOKUP(A171,Teacher!$D$3:$F$32,2,)</f>
        <v>Rahul Iyer</v>
      </c>
      <c r="C171" t="e">
        <f>VLOOKUP(A171,Teacher!D172:F201,3,2)</f>
        <v>#N/A</v>
      </c>
      <c r="D171" t="s">
        <v>97</v>
      </c>
      <c r="E171" t="s">
        <v>76</v>
      </c>
    </row>
    <row r="172" spans="1:5" x14ac:dyDescent="0.3">
      <c r="A172" t="s">
        <v>53</v>
      </c>
      <c r="B172" t="str">
        <f>+VLOOKUP(A172,Teacher!$D$3:$F$32,2,)</f>
        <v>Kiran Rao</v>
      </c>
      <c r="C172" t="e">
        <f>VLOOKUP(A172,Teacher!D173:F202,3,2)</f>
        <v>#N/A</v>
      </c>
      <c r="D172" t="s">
        <v>97</v>
      </c>
      <c r="E172" t="s">
        <v>69</v>
      </c>
    </row>
    <row r="173" spans="1:5" x14ac:dyDescent="0.3">
      <c r="A173" t="s">
        <v>46</v>
      </c>
      <c r="B173" t="str">
        <f>+VLOOKUP(A173,Teacher!$D$3:$F$32,2,)</f>
        <v>Sunita Nair</v>
      </c>
      <c r="C173" t="e">
        <f>VLOOKUP(A173,Teacher!D174:F203,3,2)</f>
        <v>#N/A</v>
      </c>
      <c r="D173" t="s">
        <v>97</v>
      </c>
      <c r="E173" t="s">
        <v>70</v>
      </c>
    </row>
    <row r="174" spans="1:5" x14ac:dyDescent="0.3">
      <c r="A174" t="s">
        <v>39</v>
      </c>
      <c r="B174" t="str">
        <f>+VLOOKUP(A174,Teacher!$D$3:$F$32,2,)</f>
        <v>Rahul Iyer</v>
      </c>
      <c r="C174" t="e">
        <f>VLOOKUP(A174,Teacher!D175:F204,3,2)</f>
        <v>#N/A</v>
      </c>
      <c r="D174" t="s">
        <v>97</v>
      </c>
      <c r="E174" t="s">
        <v>74</v>
      </c>
    </row>
    <row r="175" spans="1:5" x14ac:dyDescent="0.3">
      <c r="A175" t="s">
        <v>39</v>
      </c>
      <c r="B175" t="str">
        <f>+VLOOKUP(A175,Teacher!$D$3:$F$32,2,)</f>
        <v>Rahul Iyer</v>
      </c>
      <c r="C175" t="e">
        <f>VLOOKUP(A175,Teacher!D176:F205,3,2)</f>
        <v>#N/A</v>
      </c>
      <c r="D175" t="s">
        <v>97</v>
      </c>
      <c r="E175" t="s">
        <v>72</v>
      </c>
    </row>
    <row r="176" spans="1:5" x14ac:dyDescent="0.3">
      <c r="A176" t="s">
        <v>35</v>
      </c>
      <c r="B176" t="str">
        <f>+VLOOKUP(A176,Teacher!$D$3:$F$32,2,)</f>
        <v>Arjun Sharma</v>
      </c>
      <c r="C176" t="e">
        <f>VLOOKUP(A176,Teacher!D177:F206,3,2)</f>
        <v>#N/A</v>
      </c>
      <c r="D176" t="s">
        <v>97</v>
      </c>
      <c r="E176" t="s">
        <v>71</v>
      </c>
    </row>
    <row r="177" spans="1:5" x14ac:dyDescent="0.3">
      <c r="A177" t="s">
        <v>61</v>
      </c>
      <c r="B177" t="str">
        <f>+VLOOKUP(A177,Teacher!$D$3:$F$32,2,)</f>
        <v>Alok Patel</v>
      </c>
      <c r="C177" t="e">
        <f>VLOOKUP(A177,Teacher!D178:F207,3,2)</f>
        <v>#N/A</v>
      </c>
      <c r="D177" t="s">
        <v>97</v>
      </c>
      <c r="E177" t="s">
        <v>75</v>
      </c>
    </row>
    <row r="178" spans="1:5" x14ac:dyDescent="0.3">
      <c r="A178" t="s">
        <v>35</v>
      </c>
      <c r="B178" t="str">
        <f>+VLOOKUP(A178,Teacher!$D$3:$F$32,2,)</f>
        <v>Arjun Sharma</v>
      </c>
      <c r="C178" t="e">
        <f>VLOOKUP(A178,Teacher!D179:F208,3,2)</f>
        <v>#N/A</v>
      </c>
      <c r="D178" t="s">
        <v>98</v>
      </c>
      <c r="E178" t="s">
        <v>75</v>
      </c>
    </row>
    <row r="179" spans="1:5" x14ac:dyDescent="0.3">
      <c r="A179" t="s">
        <v>47</v>
      </c>
      <c r="B179" t="str">
        <f>+VLOOKUP(A179,Teacher!$D$3:$F$32,2,)</f>
        <v>Amit Saxena</v>
      </c>
      <c r="C179" t="e">
        <f>VLOOKUP(A179,Teacher!D180:F209,3,2)</f>
        <v>#N/A</v>
      </c>
      <c r="D179" t="s">
        <v>98</v>
      </c>
      <c r="E179" t="s">
        <v>74</v>
      </c>
    </row>
    <row r="180" spans="1:5" x14ac:dyDescent="0.3">
      <c r="A180" t="s">
        <v>42</v>
      </c>
      <c r="B180" t="str">
        <f>+VLOOKUP(A180,Teacher!$D$3:$F$32,2,)</f>
        <v>Meera Singh</v>
      </c>
      <c r="C180" t="e">
        <f>VLOOKUP(A180,Teacher!D181:F210,3,2)</f>
        <v>#N/A</v>
      </c>
      <c r="D180" t="s">
        <v>98</v>
      </c>
      <c r="E180" t="s">
        <v>69</v>
      </c>
    </row>
    <row r="181" spans="1:5" x14ac:dyDescent="0.3">
      <c r="A181" t="s">
        <v>44</v>
      </c>
      <c r="B181" t="str">
        <f>+VLOOKUP(A181,Teacher!$D$3:$F$32,2,)</f>
        <v>Pooja Mishra</v>
      </c>
      <c r="C181" t="e">
        <f>VLOOKUP(A181,Teacher!D182:F211,3,2)</f>
        <v>#N/A</v>
      </c>
      <c r="D181" t="s">
        <v>98</v>
      </c>
      <c r="E181" t="s">
        <v>72</v>
      </c>
    </row>
    <row r="182" spans="1:5" x14ac:dyDescent="0.3">
      <c r="A182" t="s">
        <v>45</v>
      </c>
      <c r="B182" t="str">
        <f>+VLOOKUP(A182,Teacher!$D$3:$F$32,2,)</f>
        <v>Rohan Deshmukh</v>
      </c>
      <c r="C182" t="e">
        <f>VLOOKUP(A182,Teacher!D183:F212,3,2)</f>
        <v>#N/A</v>
      </c>
      <c r="D182" t="s">
        <v>98</v>
      </c>
      <c r="E182" t="s">
        <v>71</v>
      </c>
    </row>
    <row r="183" spans="1:5" x14ac:dyDescent="0.3">
      <c r="A183" t="s">
        <v>52</v>
      </c>
      <c r="B183" t="str">
        <f>+VLOOKUP(A183,Teacher!$D$3:$F$32,2,)</f>
        <v>Shweta Pandey</v>
      </c>
      <c r="C183" t="e">
        <f>VLOOKUP(A183,Teacher!D184:F213,3,2)</f>
        <v>#N/A</v>
      </c>
      <c r="D183" t="s">
        <v>98</v>
      </c>
      <c r="E183" t="s">
        <v>76</v>
      </c>
    </row>
    <row r="184" spans="1:5" x14ac:dyDescent="0.3">
      <c r="A184" t="s">
        <v>51</v>
      </c>
      <c r="B184" t="str">
        <f>+VLOOKUP(A184,Teacher!$D$3:$F$32,2,)</f>
        <v>Manoj Trivedi</v>
      </c>
      <c r="C184" t="e">
        <f>VLOOKUP(A184,Teacher!D185:F214,3,2)</f>
        <v>#N/A</v>
      </c>
      <c r="D184" t="s">
        <v>98</v>
      </c>
      <c r="E184" t="s">
        <v>73</v>
      </c>
    </row>
    <row r="185" spans="1:5" x14ac:dyDescent="0.3">
      <c r="A185" t="s">
        <v>46</v>
      </c>
      <c r="B185" t="str">
        <f>+VLOOKUP(A185,Teacher!$D$3:$F$32,2,)</f>
        <v>Sunita Nair</v>
      </c>
      <c r="C185" t="e">
        <f>VLOOKUP(A185,Teacher!D186:F215,3,2)</f>
        <v>#N/A</v>
      </c>
      <c r="D185" t="s">
        <v>98</v>
      </c>
      <c r="E185" t="s">
        <v>70</v>
      </c>
    </row>
    <row r="186" spans="1:5" x14ac:dyDescent="0.3">
      <c r="A186" t="s">
        <v>61</v>
      </c>
      <c r="B186" t="str">
        <f>+VLOOKUP(A186,Teacher!$D$3:$F$32,2,)</f>
        <v>Alok Patel</v>
      </c>
      <c r="C186" t="e">
        <f>VLOOKUP(A186,Teacher!D187:F216,3,2)</f>
        <v>#N/A</v>
      </c>
      <c r="D186" t="s">
        <v>99</v>
      </c>
      <c r="E186" t="s">
        <v>76</v>
      </c>
    </row>
    <row r="187" spans="1:5" x14ac:dyDescent="0.3">
      <c r="A187" t="s">
        <v>45</v>
      </c>
      <c r="B187" t="str">
        <f>+VLOOKUP(A187,Teacher!$D$3:$F$32,2,)</f>
        <v>Rohan Deshmukh</v>
      </c>
      <c r="C187" t="e">
        <f>VLOOKUP(A187,Teacher!D188:F217,3,2)</f>
        <v>#N/A</v>
      </c>
      <c r="D187" t="s">
        <v>99</v>
      </c>
      <c r="E187" t="s">
        <v>75</v>
      </c>
    </row>
    <row r="188" spans="1:5" x14ac:dyDescent="0.3">
      <c r="A188" t="s">
        <v>57</v>
      </c>
      <c r="B188" t="str">
        <f>+VLOOKUP(A188,Teacher!$D$3:$F$32,2,)</f>
        <v>Lata Gupta</v>
      </c>
      <c r="C188" t="e">
        <f>VLOOKUP(A188,Teacher!D189:F218,3,2)</f>
        <v>#N/A</v>
      </c>
      <c r="D188" t="s">
        <v>99</v>
      </c>
      <c r="E188" t="s">
        <v>69</v>
      </c>
    </row>
    <row r="189" spans="1:5" x14ac:dyDescent="0.3">
      <c r="A189" t="s">
        <v>35</v>
      </c>
      <c r="B189" t="str">
        <f>+VLOOKUP(A189,Teacher!$D$3:$F$32,2,)</f>
        <v>Arjun Sharma</v>
      </c>
      <c r="C189" t="e">
        <f>VLOOKUP(A189,Teacher!D190:F219,3,2)</f>
        <v>#N/A</v>
      </c>
      <c r="D189" t="s">
        <v>99</v>
      </c>
      <c r="E189" t="s">
        <v>74</v>
      </c>
    </row>
    <row r="190" spans="1:5" x14ac:dyDescent="0.3">
      <c r="A190" t="s">
        <v>36</v>
      </c>
      <c r="B190" t="str">
        <f>+VLOOKUP(A190,Teacher!$D$3:$F$32,2,)</f>
        <v>Deepak Verma</v>
      </c>
      <c r="C190" t="e">
        <f>VLOOKUP(A190,Teacher!D191:F220,3,2)</f>
        <v>#N/A</v>
      </c>
      <c r="D190" t="s">
        <v>99</v>
      </c>
      <c r="E190" t="s">
        <v>73</v>
      </c>
    </row>
    <row r="191" spans="1:5" x14ac:dyDescent="0.3">
      <c r="A191" t="s">
        <v>40</v>
      </c>
      <c r="B191" t="str">
        <f>+VLOOKUP(A191,Teacher!$D$3:$F$32,2,)</f>
        <v>Kavita Reddy</v>
      </c>
      <c r="C191" t="e">
        <f>VLOOKUP(A191,Teacher!D192:F221,3,2)</f>
        <v>#N/A</v>
      </c>
      <c r="D191" t="s">
        <v>99</v>
      </c>
      <c r="E191" t="s">
        <v>71</v>
      </c>
    </row>
    <row r="192" spans="1:5" x14ac:dyDescent="0.3">
      <c r="A192" t="s">
        <v>62</v>
      </c>
      <c r="B192" t="str">
        <f>+VLOOKUP(A192,Teacher!$D$3:$F$32,2,)</f>
        <v>Priyanka Singh</v>
      </c>
      <c r="C192" t="e">
        <f>VLOOKUP(A192,Teacher!D193:F222,3,2)</f>
        <v>#N/A</v>
      </c>
      <c r="D192" t="s">
        <v>99</v>
      </c>
      <c r="E192" t="s">
        <v>70</v>
      </c>
    </row>
    <row r="193" spans="1:5" x14ac:dyDescent="0.3">
      <c r="A193" t="s">
        <v>49</v>
      </c>
      <c r="B193" t="str">
        <f>+VLOOKUP(A193,Teacher!$D$3:$F$32,2,)</f>
        <v>Vijay Kapoor</v>
      </c>
      <c r="C193" t="e">
        <f>VLOOKUP(A193,Teacher!D194:F223,3,2)</f>
        <v>#N/A</v>
      </c>
      <c r="D193" t="s">
        <v>99</v>
      </c>
      <c r="E193" t="s">
        <v>72</v>
      </c>
    </row>
    <row r="194" spans="1:5" x14ac:dyDescent="0.3">
      <c r="A194" t="s">
        <v>37</v>
      </c>
      <c r="B194" t="str">
        <f>+VLOOKUP(A194,Teacher!$D$3:$F$32,2,)</f>
        <v>Anjali Gupta</v>
      </c>
      <c r="C194" t="e">
        <f>VLOOKUP(A194,Teacher!D195:F224,3,2)</f>
        <v>#N/A</v>
      </c>
      <c r="D194" t="s">
        <v>100</v>
      </c>
      <c r="E194" t="s">
        <v>70</v>
      </c>
    </row>
    <row r="195" spans="1:5" x14ac:dyDescent="0.3">
      <c r="A195" t="s">
        <v>40</v>
      </c>
      <c r="B195" t="str">
        <f>+VLOOKUP(A195,Teacher!$D$3:$F$32,2,)</f>
        <v>Kavita Reddy</v>
      </c>
      <c r="C195" t="e">
        <f>VLOOKUP(A195,Teacher!D196:F225,3,2)</f>
        <v>#N/A</v>
      </c>
      <c r="D195" t="s">
        <v>100</v>
      </c>
      <c r="E195" t="s">
        <v>74</v>
      </c>
    </row>
    <row r="196" spans="1:5" x14ac:dyDescent="0.3">
      <c r="A196" t="s">
        <v>48</v>
      </c>
      <c r="B196" t="str">
        <f>+VLOOKUP(A196,Teacher!$D$3:$F$32,2,)</f>
        <v>Rashmi Chopra</v>
      </c>
      <c r="C196" t="e">
        <f>VLOOKUP(A196,Teacher!D197:F226,3,2)</f>
        <v>#N/A</v>
      </c>
      <c r="D196" t="s">
        <v>100</v>
      </c>
      <c r="E196" t="s">
        <v>75</v>
      </c>
    </row>
    <row r="197" spans="1:5" x14ac:dyDescent="0.3">
      <c r="A197" t="s">
        <v>62</v>
      </c>
      <c r="B197" t="str">
        <f>+VLOOKUP(A197,Teacher!$D$3:$F$32,2,)</f>
        <v>Priyanka Singh</v>
      </c>
      <c r="C197" t="e">
        <f>VLOOKUP(A197,Teacher!D198:F227,3,2)</f>
        <v>#N/A</v>
      </c>
      <c r="D197" t="s">
        <v>100</v>
      </c>
      <c r="E197" t="s">
        <v>73</v>
      </c>
    </row>
    <row r="198" spans="1:5" x14ac:dyDescent="0.3">
      <c r="A198" t="s">
        <v>36</v>
      </c>
      <c r="B198" t="str">
        <f>+VLOOKUP(A198,Teacher!$D$3:$F$32,2,)</f>
        <v>Deepak Verma</v>
      </c>
      <c r="C198" t="e">
        <f>VLOOKUP(A198,Teacher!D199:F228,3,2)</f>
        <v>#N/A</v>
      </c>
      <c r="D198" t="s">
        <v>100</v>
      </c>
      <c r="E198" t="s">
        <v>69</v>
      </c>
    </row>
    <row r="199" spans="1:5" x14ac:dyDescent="0.3">
      <c r="A199" t="s">
        <v>42</v>
      </c>
      <c r="B199" t="str">
        <f>+VLOOKUP(A199,Teacher!$D$3:$F$32,2,)</f>
        <v>Meera Singh</v>
      </c>
      <c r="C199" t="e">
        <f>VLOOKUP(A199,Teacher!D200:F229,3,2)</f>
        <v>#N/A</v>
      </c>
      <c r="D199" t="s">
        <v>100</v>
      </c>
      <c r="E199" t="s">
        <v>72</v>
      </c>
    </row>
    <row r="200" spans="1:5" x14ac:dyDescent="0.3">
      <c r="A200" t="s">
        <v>56</v>
      </c>
      <c r="B200" t="str">
        <f>+VLOOKUP(A200,Teacher!$D$3:$F$32,2,)</f>
        <v>Ramesh Verma</v>
      </c>
      <c r="C200" t="e">
        <f>VLOOKUP(A200,Teacher!D201:F230,3,2)</f>
        <v>#N/A</v>
      </c>
      <c r="D200" t="s">
        <v>100</v>
      </c>
      <c r="E200" t="s">
        <v>76</v>
      </c>
    </row>
    <row r="201" spans="1:5" x14ac:dyDescent="0.3">
      <c r="A201" t="s">
        <v>38</v>
      </c>
      <c r="B201" t="str">
        <f>+VLOOKUP(A201,Teacher!$D$3:$F$32,2,)</f>
        <v>Sneha Malhotra</v>
      </c>
      <c r="C201" t="e">
        <f>VLOOKUP(A201,Teacher!D202:F231,3,2)</f>
        <v>#N/A</v>
      </c>
      <c r="D201" t="s">
        <v>100</v>
      </c>
      <c r="E201" t="s">
        <v>71</v>
      </c>
    </row>
    <row r="202" spans="1:5" x14ac:dyDescent="0.3">
      <c r="A202" t="s">
        <v>51</v>
      </c>
      <c r="B202" t="str">
        <f>+VLOOKUP(A202,Teacher!$D$3:$F$32,2,)</f>
        <v>Manoj Trivedi</v>
      </c>
      <c r="C202" t="e">
        <f>VLOOKUP(A202,Teacher!D203:F232,3,2)</f>
        <v>#N/A</v>
      </c>
      <c r="D202" t="s">
        <v>101</v>
      </c>
      <c r="E202" t="s">
        <v>72</v>
      </c>
    </row>
    <row r="203" spans="1:5" x14ac:dyDescent="0.3">
      <c r="A203" t="s">
        <v>55</v>
      </c>
      <c r="B203" t="str">
        <f>+VLOOKUP(A203,Teacher!$D$3:$F$32,2,)</f>
        <v>Suresh Sharma</v>
      </c>
      <c r="C203" t="e">
        <f>VLOOKUP(A203,Teacher!D204:F233,3,2)</f>
        <v>#N/A</v>
      </c>
      <c r="D203" t="s">
        <v>101</v>
      </c>
      <c r="E203" t="s">
        <v>73</v>
      </c>
    </row>
    <row r="204" spans="1:5" x14ac:dyDescent="0.3">
      <c r="A204" t="s">
        <v>51</v>
      </c>
      <c r="B204" t="str">
        <f>+VLOOKUP(A204,Teacher!$D$3:$F$32,2,)</f>
        <v>Manoj Trivedi</v>
      </c>
      <c r="C204" t="e">
        <f>VLOOKUP(A204,Teacher!D205:F234,3,2)</f>
        <v>#N/A</v>
      </c>
      <c r="D204" t="s">
        <v>101</v>
      </c>
      <c r="E204" t="s">
        <v>69</v>
      </c>
    </row>
    <row r="205" spans="1:5" x14ac:dyDescent="0.3">
      <c r="A205" t="s">
        <v>51</v>
      </c>
      <c r="B205" t="str">
        <f>+VLOOKUP(A205,Teacher!$D$3:$F$32,2,)</f>
        <v>Manoj Trivedi</v>
      </c>
      <c r="C205" t="e">
        <f>VLOOKUP(A205,Teacher!D206:F235,3,2)</f>
        <v>#N/A</v>
      </c>
      <c r="D205" t="s">
        <v>101</v>
      </c>
      <c r="E205" t="s">
        <v>74</v>
      </c>
    </row>
    <row r="206" spans="1:5" x14ac:dyDescent="0.3">
      <c r="A206" t="s">
        <v>35</v>
      </c>
      <c r="B206" t="str">
        <f>+VLOOKUP(A206,Teacher!$D$3:$F$32,2,)</f>
        <v>Arjun Sharma</v>
      </c>
      <c r="C206" t="e">
        <f>VLOOKUP(A206,Teacher!D207:F236,3,2)</f>
        <v>#N/A</v>
      </c>
      <c r="D206" t="s">
        <v>101</v>
      </c>
      <c r="E206" t="s">
        <v>71</v>
      </c>
    </row>
    <row r="207" spans="1:5" x14ac:dyDescent="0.3">
      <c r="A207" t="s">
        <v>55</v>
      </c>
      <c r="B207" t="str">
        <f>+VLOOKUP(A207,Teacher!$D$3:$F$32,2,)</f>
        <v>Suresh Sharma</v>
      </c>
      <c r="C207" t="e">
        <f>VLOOKUP(A207,Teacher!D208:F237,3,2)</f>
        <v>#N/A</v>
      </c>
      <c r="D207" t="s">
        <v>101</v>
      </c>
      <c r="E207" t="s">
        <v>75</v>
      </c>
    </row>
    <row r="208" spans="1:5" x14ac:dyDescent="0.3">
      <c r="A208" t="s">
        <v>62</v>
      </c>
      <c r="B208" t="str">
        <f>+VLOOKUP(A208,Teacher!$D$3:$F$32,2,)</f>
        <v>Priyanka Singh</v>
      </c>
      <c r="C208" t="e">
        <f>VLOOKUP(A208,Teacher!D209:F238,3,2)</f>
        <v>#N/A</v>
      </c>
      <c r="D208" t="s">
        <v>101</v>
      </c>
      <c r="E208" t="s">
        <v>76</v>
      </c>
    </row>
    <row r="209" spans="1:5" x14ac:dyDescent="0.3">
      <c r="A209" t="s">
        <v>35</v>
      </c>
      <c r="B209" t="str">
        <f>+VLOOKUP(A209,Teacher!$D$3:$F$32,2,)</f>
        <v>Arjun Sharma</v>
      </c>
      <c r="C209" t="e">
        <f>VLOOKUP(A209,Teacher!D210:F239,3,2)</f>
        <v>#N/A</v>
      </c>
      <c r="D209" t="s">
        <v>101</v>
      </c>
      <c r="E209" t="s">
        <v>70</v>
      </c>
    </row>
    <row r="210" spans="1:5" x14ac:dyDescent="0.3">
      <c r="A210" t="s">
        <v>62</v>
      </c>
      <c r="B210" t="str">
        <f>+VLOOKUP(A210,Teacher!$D$3:$F$32,2,)</f>
        <v>Priyanka Singh</v>
      </c>
      <c r="C210" t="e">
        <f>VLOOKUP(A210,Teacher!D211:F240,3,2)</f>
        <v>#N/A</v>
      </c>
      <c r="D210" t="s">
        <v>102</v>
      </c>
      <c r="E210" t="s">
        <v>74</v>
      </c>
    </row>
    <row r="211" spans="1:5" x14ac:dyDescent="0.3">
      <c r="A211" t="s">
        <v>45</v>
      </c>
      <c r="B211" t="str">
        <f>+VLOOKUP(A211,Teacher!$D$3:$F$32,2,)</f>
        <v>Rohan Deshmukh</v>
      </c>
      <c r="C211" t="e">
        <f>VLOOKUP(A211,Teacher!D212:F241,3,2)</f>
        <v>#N/A</v>
      </c>
      <c r="D211" t="s">
        <v>102</v>
      </c>
      <c r="E211" t="s">
        <v>76</v>
      </c>
    </row>
    <row r="212" spans="1:5" x14ac:dyDescent="0.3">
      <c r="A212" t="s">
        <v>41</v>
      </c>
      <c r="B212" t="str">
        <f>+VLOOKUP(A212,Teacher!$D$3:$F$32,2,)</f>
        <v>Sanjay Patel</v>
      </c>
      <c r="C212" t="e">
        <f>VLOOKUP(A212,Teacher!D213:F242,3,2)</f>
        <v>#N/A</v>
      </c>
      <c r="D212" t="s">
        <v>102</v>
      </c>
      <c r="E212" t="s">
        <v>73</v>
      </c>
    </row>
    <row r="213" spans="1:5" x14ac:dyDescent="0.3">
      <c r="A213" t="s">
        <v>41</v>
      </c>
      <c r="B213" t="str">
        <f>+VLOOKUP(A213,Teacher!$D$3:$F$32,2,)</f>
        <v>Sanjay Patel</v>
      </c>
      <c r="C213" t="e">
        <f>VLOOKUP(A213,Teacher!D214:F243,3,2)</f>
        <v>#N/A</v>
      </c>
      <c r="D213" t="s">
        <v>102</v>
      </c>
      <c r="E213" t="s">
        <v>70</v>
      </c>
    </row>
    <row r="214" spans="1:5" x14ac:dyDescent="0.3">
      <c r="A214" t="s">
        <v>46</v>
      </c>
      <c r="B214" t="str">
        <f>+VLOOKUP(A214,Teacher!$D$3:$F$32,2,)</f>
        <v>Sunita Nair</v>
      </c>
      <c r="C214" t="e">
        <f>VLOOKUP(A214,Teacher!D215:F244,3,2)</f>
        <v>#N/A</v>
      </c>
      <c r="D214" t="s">
        <v>102</v>
      </c>
      <c r="E214" t="s">
        <v>75</v>
      </c>
    </row>
    <row r="215" spans="1:5" x14ac:dyDescent="0.3">
      <c r="A215" t="s">
        <v>43</v>
      </c>
      <c r="B215" t="str">
        <f>+VLOOKUP(A215,Teacher!$D$3:$F$32,2,)</f>
        <v>Vikram Joshi</v>
      </c>
      <c r="C215" t="e">
        <f>VLOOKUP(A215,Teacher!D216:F245,3,2)</f>
        <v>#N/A</v>
      </c>
      <c r="D215" t="s">
        <v>102</v>
      </c>
      <c r="E215" t="s">
        <v>69</v>
      </c>
    </row>
    <row r="216" spans="1:5" x14ac:dyDescent="0.3">
      <c r="A216" t="s">
        <v>41</v>
      </c>
      <c r="B216" t="str">
        <f>+VLOOKUP(A216,Teacher!$D$3:$F$32,2,)</f>
        <v>Sanjay Patel</v>
      </c>
      <c r="C216" t="e">
        <f>VLOOKUP(A216,Teacher!D217:F246,3,2)</f>
        <v>#N/A</v>
      </c>
      <c r="D216" t="s">
        <v>102</v>
      </c>
      <c r="E216" t="s">
        <v>72</v>
      </c>
    </row>
    <row r="217" spans="1:5" x14ac:dyDescent="0.3">
      <c r="A217" t="s">
        <v>63</v>
      </c>
      <c r="B217" t="str">
        <f>+VLOOKUP(A217,Teacher!$D$3:$F$32,2,)</f>
        <v>Nitin Joshi</v>
      </c>
      <c r="C217" t="e">
        <f>VLOOKUP(A217,Teacher!D218:F247,3,2)</f>
        <v>#N/A</v>
      </c>
      <c r="D217" t="s">
        <v>102</v>
      </c>
      <c r="E217" t="s">
        <v>71</v>
      </c>
    </row>
    <row r="218" spans="1:5" x14ac:dyDescent="0.3">
      <c r="A218" t="s">
        <v>41</v>
      </c>
      <c r="B218" t="str">
        <f>+VLOOKUP(A218,Teacher!$D$3:$F$32,2,)</f>
        <v>Sanjay Patel</v>
      </c>
      <c r="C218" t="e">
        <f>VLOOKUP(A218,Teacher!D219:F248,3,2)</f>
        <v>#N/A</v>
      </c>
      <c r="D218" t="s">
        <v>103</v>
      </c>
      <c r="E218" t="s">
        <v>76</v>
      </c>
    </row>
    <row r="219" spans="1:5" x14ac:dyDescent="0.3">
      <c r="A219" t="s">
        <v>53</v>
      </c>
      <c r="B219" t="str">
        <f>+VLOOKUP(A219,Teacher!$D$3:$F$32,2,)</f>
        <v>Kiran Rao</v>
      </c>
      <c r="C219" t="e">
        <f>VLOOKUP(A219,Teacher!D220:F249,3,2)</f>
        <v>#N/A</v>
      </c>
      <c r="D219" t="s">
        <v>103</v>
      </c>
      <c r="E219" t="s">
        <v>75</v>
      </c>
    </row>
    <row r="220" spans="1:5" x14ac:dyDescent="0.3">
      <c r="A220" t="s">
        <v>64</v>
      </c>
      <c r="B220" t="str">
        <f>+VLOOKUP(A220,Teacher!$D$3:$F$32,2,)</f>
        <v>Sakshi Mishra</v>
      </c>
      <c r="C220" t="e">
        <f>VLOOKUP(A220,Teacher!D221:F250,3,2)</f>
        <v>#N/A</v>
      </c>
      <c r="D220" t="s">
        <v>103</v>
      </c>
      <c r="E220" t="s">
        <v>74</v>
      </c>
    </row>
    <row r="221" spans="1:5" x14ac:dyDescent="0.3">
      <c r="A221" t="s">
        <v>52</v>
      </c>
      <c r="B221" t="str">
        <f>+VLOOKUP(A221,Teacher!$D$3:$F$32,2,)</f>
        <v>Shweta Pandey</v>
      </c>
      <c r="C221" t="e">
        <f>VLOOKUP(A221,Teacher!D222:F251,3,2)</f>
        <v>#N/A</v>
      </c>
      <c r="D221" t="s">
        <v>103</v>
      </c>
      <c r="E221" t="s">
        <v>72</v>
      </c>
    </row>
    <row r="222" spans="1:5" x14ac:dyDescent="0.3">
      <c r="A222" t="s">
        <v>64</v>
      </c>
      <c r="B222" t="str">
        <f>+VLOOKUP(A222,Teacher!$D$3:$F$32,2,)</f>
        <v>Sakshi Mishra</v>
      </c>
      <c r="C222" t="e">
        <f>VLOOKUP(A222,Teacher!D223:F252,3,2)</f>
        <v>#N/A</v>
      </c>
      <c r="D222" t="s">
        <v>103</v>
      </c>
      <c r="E222" t="s">
        <v>69</v>
      </c>
    </row>
    <row r="223" spans="1:5" x14ac:dyDescent="0.3">
      <c r="A223" t="s">
        <v>54</v>
      </c>
      <c r="B223" t="str">
        <f>+VLOOKUP(A223,Teacher!$D$3:$F$32,2,)</f>
        <v>Geeta Kumar</v>
      </c>
      <c r="C223" t="e">
        <f>VLOOKUP(A223,Teacher!D224:F253,3,2)</f>
        <v>#N/A</v>
      </c>
      <c r="D223" t="s">
        <v>103</v>
      </c>
      <c r="E223" t="s">
        <v>70</v>
      </c>
    </row>
    <row r="224" spans="1:5" x14ac:dyDescent="0.3">
      <c r="A224" t="s">
        <v>53</v>
      </c>
      <c r="B224" t="str">
        <f>+VLOOKUP(A224,Teacher!$D$3:$F$32,2,)</f>
        <v>Kiran Rao</v>
      </c>
      <c r="C224" t="e">
        <f>VLOOKUP(A224,Teacher!D225:F254,3,2)</f>
        <v>#N/A</v>
      </c>
      <c r="D224" t="s">
        <v>103</v>
      </c>
      <c r="E224" t="s">
        <v>73</v>
      </c>
    </row>
    <row r="225" spans="1:5" x14ac:dyDescent="0.3">
      <c r="A225" t="s">
        <v>63</v>
      </c>
      <c r="B225" t="str">
        <f>+VLOOKUP(A225,Teacher!$D$3:$F$32,2,)</f>
        <v>Nitin Joshi</v>
      </c>
      <c r="C225" t="e">
        <f>VLOOKUP(A225,Teacher!D226:F255,3,2)</f>
        <v>#N/A</v>
      </c>
      <c r="D225" t="s">
        <v>103</v>
      </c>
      <c r="E225" t="s">
        <v>71</v>
      </c>
    </row>
    <row r="226" spans="1:5" x14ac:dyDescent="0.3">
      <c r="A226" t="s">
        <v>45</v>
      </c>
      <c r="B226" t="str">
        <f>+VLOOKUP(A226,Teacher!$D$3:$F$32,2,)</f>
        <v>Rohan Deshmukh</v>
      </c>
      <c r="C226" t="e">
        <f>VLOOKUP(A226,Teacher!D227:F256,3,2)</f>
        <v>#N/A</v>
      </c>
      <c r="D226" t="s">
        <v>104</v>
      </c>
      <c r="E226" t="s">
        <v>73</v>
      </c>
    </row>
    <row r="227" spans="1:5" x14ac:dyDescent="0.3">
      <c r="A227" t="s">
        <v>56</v>
      </c>
      <c r="B227" t="str">
        <f>+VLOOKUP(A227,Teacher!$D$3:$F$32,2,)</f>
        <v>Ramesh Verma</v>
      </c>
      <c r="C227" t="e">
        <f>VLOOKUP(A227,Teacher!D228:F257,3,2)</f>
        <v>#N/A</v>
      </c>
      <c r="D227" t="s">
        <v>104</v>
      </c>
      <c r="E227" t="s">
        <v>72</v>
      </c>
    </row>
    <row r="228" spans="1:5" x14ac:dyDescent="0.3">
      <c r="A228" t="s">
        <v>41</v>
      </c>
      <c r="B228" t="str">
        <f>+VLOOKUP(A228,Teacher!$D$3:$F$32,2,)</f>
        <v>Sanjay Patel</v>
      </c>
      <c r="C228" t="e">
        <f>VLOOKUP(A228,Teacher!D229:F258,3,2)</f>
        <v>#N/A</v>
      </c>
      <c r="D228" t="s">
        <v>104</v>
      </c>
      <c r="E228" t="s">
        <v>74</v>
      </c>
    </row>
    <row r="229" spans="1:5" x14ac:dyDescent="0.3">
      <c r="A229" t="s">
        <v>42</v>
      </c>
      <c r="B229" t="str">
        <f>+VLOOKUP(A229,Teacher!$D$3:$F$32,2,)</f>
        <v>Meera Singh</v>
      </c>
      <c r="C229" t="e">
        <f>VLOOKUP(A229,Teacher!D230:F259,3,2)</f>
        <v>#N/A</v>
      </c>
      <c r="D229" t="s">
        <v>104</v>
      </c>
      <c r="E229" t="s">
        <v>69</v>
      </c>
    </row>
    <row r="230" spans="1:5" x14ac:dyDescent="0.3">
      <c r="A230" t="s">
        <v>52</v>
      </c>
      <c r="B230" t="str">
        <f>+VLOOKUP(A230,Teacher!$D$3:$F$32,2,)</f>
        <v>Shweta Pandey</v>
      </c>
      <c r="C230" t="e">
        <f>VLOOKUP(A230,Teacher!D231:F260,3,2)</f>
        <v>#N/A</v>
      </c>
      <c r="D230" t="s">
        <v>104</v>
      </c>
      <c r="E230" t="s">
        <v>71</v>
      </c>
    </row>
    <row r="231" spans="1:5" x14ac:dyDescent="0.3">
      <c r="A231" t="s">
        <v>37</v>
      </c>
      <c r="B231" t="str">
        <f>+VLOOKUP(A231,Teacher!$D$3:$F$32,2,)</f>
        <v>Anjali Gupta</v>
      </c>
      <c r="C231" t="e">
        <f>VLOOKUP(A231,Teacher!D232:F261,3,2)</f>
        <v>#N/A</v>
      </c>
      <c r="D231" t="s">
        <v>104</v>
      </c>
      <c r="E231" t="s">
        <v>70</v>
      </c>
    </row>
    <row r="232" spans="1:5" x14ac:dyDescent="0.3">
      <c r="A232" t="s">
        <v>54</v>
      </c>
      <c r="B232" t="str">
        <f>+VLOOKUP(A232,Teacher!$D$3:$F$32,2,)</f>
        <v>Geeta Kumar</v>
      </c>
      <c r="C232" t="e">
        <f>VLOOKUP(A232,Teacher!D233:F262,3,2)</f>
        <v>#N/A</v>
      </c>
      <c r="D232" t="s">
        <v>104</v>
      </c>
      <c r="E232" t="s">
        <v>76</v>
      </c>
    </row>
    <row r="233" spans="1:5" x14ac:dyDescent="0.3">
      <c r="A233" t="s">
        <v>44</v>
      </c>
      <c r="B233" t="str">
        <f>+VLOOKUP(A233,Teacher!$D$3:$F$32,2,)</f>
        <v>Pooja Mishra</v>
      </c>
      <c r="C233" t="e">
        <f>VLOOKUP(A233,Teacher!D234:F263,3,2)</f>
        <v>#N/A</v>
      </c>
      <c r="D233" t="s">
        <v>104</v>
      </c>
      <c r="E233" t="s">
        <v>75</v>
      </c>
    </row>
    <row r="234" spans="1:5" x14ac:dyDescent="0.3">
      <c r="A234" t="s">
        <v>42</v>
      </c>
      <c r="B234" t="str">
        <f>+VLOOKUP(A234,Teacher!$D$3:$F$32,2,)</f>
        <v>Meera Singh</v>
      </c>
      <c r="C234" t="e">
        <f>VLOOKUP(A234,Teacher!D235:F264,3,2)</f>
        <v>#N/A</v>
      </c>
      <c r="D234" t="s">
        <v>105</v>
      </c>
      <c r="E234" t="s">
        <v>70</v>
      </c>
    </row>
    <row r="235" spans="1:5" x14ac:dyDescent="0.3">
      <c r="A235" t="s">
        <v>63</v>
      </c>
      <c r="B235" t="str">
        <f>+VLOOKUP(A235,Teacher!$D$3:$F$32,2,)</f>
        <v>Nitin Joshi</v>
      </c>
      <c r="C235" t="e">
        <f>VLOOKUP(A235,Teacher!D236:F265,3,2)</f>
        <v>#N/A</v>
      </c>
      <c r="D235" t="s">
        <v>105</v>
      </c>
      <c r="E235" t="s">
        <v>73</v>
      </c>
    </row>
    <row r="236" spans="1:5" x14ac:dyDescent="0.3">
      <c r="A236" t="s">
        <v>41</v>
      </c>
      <c r="B236" t="str">
        <f>+VLOOKUP(A236,Teacher!$D$3:$F$32,2,)</f>
        <v>Sanjay Patel</v>
      </c>
      <c r="C236" t="e">
        <f>VLOOKUP(A236,Teacher!D237:F266,3,2)</f>
        <v>#N/A</v>
      </c>
      <c r="D236" t="s">
        <v>105</v>
      </c>
      <c r="E236" t="s">
        <v>72</v>
      </c>
    </row>
    <row r="237" spans="1:5" x14ac:dyDescent="0.3">
      <c r="A237" t="s">
        <v>55</v>
      </c>
      <c r="B237" t="str">
        <f>+VLOOKUP(A237,Teacher!$D$3:$F$32,2,)</f>
        <v>Suresh Sharma</v>
      </c>
      <c r="C237" t="e">
        <f>VLOOKUP(A237,Teacher!D238:F267,3,2)</f>
        <v>#N/A</v>
      </c>
      <c r="D237" t="s">
        <v>105</v>
      </c>
      <c r="E237" t="s">
        <v>74</v>
      </c>
    </row>
    <row r="238" spans="1:5" x14ac:dyDescent="0.3">
      <c r="A238" t="s">
        <v>39</v>
      </c>
      <c r="B238" t="str">
        <f>+VLOOKUP(A238,Teacher!$D$3:$F$32,2,)</f>
        <v>Rahul Iyer</v>
      </c>
      <c r="C238" t="e">
        <f>VLOOKUP(A238,Teacher!D239:F268,3,2)</f>
        <v>#N/A</v>
      </c>
      <c r="D238" t="s">
        <v>105</v>
      </c>
      <c r="E238" t="s">
        <v>71</v>
      </c>
    </row>
    <row r="239" spans="1:5" x14ac:dyDescent="0.3">
      <c r="A239" t="s">
        <v>40</v>
      </c>
      <c r="B239" t="str">
        <f>+VLOOKUP(A239,Teacher!$D$3:$F$32,2,)</f>
        <v>Kavita Reddy</v>
      </c>
      <c r="C239" t="e">
        <f>VLOOKUP(A239,Teacher!D240:F269,3,2)</f>
        <v>#N/A</v>
      </c>
      <c r="D239" t="s">
        <v>105</v>
      </c>
      <c r="E239" t="s">
        <v>76</v>
      </c>
    </row>
    <row r="240" spans="1:5" x14ac:dyDescent="0.3">
      <c r="A240" t="s">
        <v>52</v>
      </c>
      <c r="B240" t="str">
        <f>+VLOOKUP(A240,Teacher!$D$3:$F$32,2,)</f>
        <v>Shweta Pandey</v>
      </c>
      <c r="C240" t="e">
        <f>VLOOKUP(A240,Teacher!D241:F270,3,2)</f>
        <v>#N/A</v>
      </c>
      <c r="D240" t="s">
        <v>105</v>
      </c>
      <c r="E240" t="s">
        <v>75</v>
      </c>
    </row>
    <row r="241" spans="1:5" x14ac:dyDescent="0.3">
      <c r="A241" t="s">
        <v>45</v>
      </c>
      <c r="B241" t="str">
        <f>+VLOOKUP(A241,Teacher!$D$3:$F$32,2,)</f>
        <v>Rohan Deshmukh</v>
      </c>
      <c r="C241" t="e">
        <f>VLOOKUP(A241,Teacher!D242:F271,3,2)</f>
        <v>#N/A</v>
      </c>
      <c r="D241" t="s">
        <v>105</v>
      </c>
      <c r="E241" t="s">
        <v>69</v>
      </c>
    </row>
  </sheetData>
  <hyperlinks>
    <hyperlink ref="A2" r:id="rId1" xr:uid="{3A5BDCF1-51C7-41DA-B9C7-64D16ABB3FCE}"/>
    <hyperlink ref="A3" r:id="rId2" xr:uid="{5DE6D77C-3E3F-43F5-950D-E1783F52F7B0}"/>
    <hyperlink ref="A4" r:id="rId3" xr:uid="{B8812E49-94F8-47A7-9F12-6D06A248EE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</vt:lpstr>
      <vt:lpstr>Teacher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Hrutuparn</cp:lastModifiedBy>
  <dcterms:created xsi:type="dcterms:W3CDTF">2026-05-21T18:07:04Z</dcterms:created>
  <dcterms:modified xsi:type="dcterms:W3CDTF">2026-05-21T18:24:18Z</dcterms:modified>
</cp:coreProperties>
</file>